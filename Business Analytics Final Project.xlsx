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MY\Desktop\"/>
    </mc:Choice>
  </mc:AlternateContent>
  <xr:revisionPtr revIDLastSave="0" documentId="13_ncr:1_{33449B5E-D706-4356-809D-7C748529F673}" xr6:coauthVersionLast="47" xr6:coauthVersionMax="47" xr10:uidLastSave="{00000000-0000-0000-0000-000000000000}"/>
  <bookViews>
    <workbookView xWindow="-108" yWindow="-108" windowWidth="23256" windowHeight="12456" firstSheet="1" activeTab="1" xr2:uid="{7820A288-A5E3-4C45-9431-95A809163AD5}"/>
  </bookViews>
  <sheets>
    <sheet name="Risk Modeling-Ad or not" sheetId="3" r:id="rId1"/>
    <sheet name="Optimization-Employee" sheetId="5" r:id="rId2"/>
    <sheet name="Answer Report 1" sheetId="6" r:id="rId3"/>
    <sheet name="Simulation-Summer Supply" sheetId="1" r:id="rId4"/>
    <sheet name="Simulation-Winter Supply" sheetId="2" r:id="rId5"/>
    <sheet name="Simulation-Queueing" sheetId="4" r:id="rId6"/>
  </sheets>
  <definedNames>
    <definedName name="solver_adj" localSheetId="1" hidden="1">'Optimization-Employee'!$B$3:$C$3</definedName>
    <definedName name="solver_cvg" localSheetId="1" hidden="1">0.0001</definedName>
    <definedName name="solver_drv" localSheetId="1" hidden="1">1</definedName>
    <definedName name="solver_eng" localSheetId="1" hidden="1">2</definedName>
    <definedName name="solver_est" localSheetId="1" hidden="1">1</definedName>
    <definedName name="solver_itr" localSheetId="1" hidden="1">2147483647</definedName>
    <definedName name="solver_lhs1" localSheetId="1" hidden="1">'Optimization-Employee'!$B$3:$C$3</definedName>
    <definedName name="solver_lhs2" localSheetId="1" hidden="1">'Optimization-Employee'!$C$31</definedName>
    <definedName name="solver_lhs3" localSheetId="1" hidden="1">'Optimization-Employee'!$D$25:$D$27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3</definedName>
    <definedName name="solver_nwt" localSheetId="1" hidden="1">1</definedName>
    <definedName name="solver_opt" localSheetId="1" hidden="1">'Optimization-Employee'!$B$20</definedName>
    <definedName name="solver_pre" localSheetId="1" hidden="1">0.000001</definedName>
    <definedName name="solver_rbv" localSheetId="1" hidden="1">1</definedName>
    <definedName name="solver_rel1" localSheetId="1" hidden="1">4</definedName>
    <definedName name="solver_rel2" localSheetId="1" hidden="1">3</definedName>
    <definedName name="solver_rel3" localSheetId="1" hidden="1">3</definedName>
    <definedName name="solver_rhs1" localSheetId="1" hidden="1">"integer"</definedName>
    <definedName name="solver_rhs2" localSheetId="1" hidden="1">'Optimization-Employee'!$E$31</definedName>
    <definedName name="solver_rhs3" localSheetId="1" hidden="1">'Optimization-Employee'!$F$25:$F$27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2</definedName>
    <definedName name="solver_val" localSheetId="1" hidden="1">0</definedName>
    <definedName name="solver_ver" localSheetId="1" hidden="1">3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1" i="5" l="1"/>
  <c r="D27" i="5"/>
  <c r="D26" i="5"/>
  <c r="D25" i="5"/>
  <c r="B20" i="5"/>
  <c r="E31" i="5" l="1"/>
  <c r="D18" i="5"/>
  <c r="B18" i="5"/>
  <c r="D17" i="5"/>
  <c r="C17" i="5"/>
  <c r="C18" i="5" s="1"/>
  <c r="B17" i="5"/>
  <c r="C125" i="4"/>
  <c r="C93" i="4"/>
  <c r="C27" i="4"/>
  <c r="L7" i="4"/>
  <c r="O6" i="4"/>
  <c r="N6" i="4"/>
  <c r="M6" i="4"/>
  <c r="L6" i="4"/>
  <c r="C30" i="4" l="1"/>
  <c r="C54" i="4"/>
  <c r="C17" i="4"/>
  <c r="C33" i="4"/>
  <c r="C149" i="4"/>
  <c r="C448" i="4"/>
  <c r="C440" i="4"/>
  <c r="C432" i="4"/>
  <c r="C424" i="4"/>
  <c r="C408" i="4"/>
  <c r="C392" i="4"/>
  <c r="C376" i="4"/>
  <c r="C352" i="4"/>
  <c r="C344" i="4"/>
  <c r="C320" i="4"/>
  <c r="C312" i="4"/>
  <c r="C280" i="4"/>
  <c r="C272" i="4"/>
  <c r="C264" i="4"/>
  <c r="C429" i="4"/>
  <c r="C421" i="4"/>
  <c r="C405" i="4"/>
  <c r="C397" i="4"/>
  <c r="C373" i="4"/>
  <c r="C341" i="4"/>
  <c r="C333" i="4"/>
  <c r="C309" i="4"/>
  <c r="C301" i="4"/>
  <c r="C285" i="4"/>
  <c r="C410" i="4"/>
  <c r="C386" i="4"/>
  <c r="C370" i="4"/>
  <c r="C306" i="4"/>
  <c r="C298" i="4"/>
  <c r="C471" i="4"/>
  <c r="C439" i="4"/>
  <c r="C415" i="4"/>
  <c r="C407" i="4"/>
  <c r="C351" i="4"/>
  <c r="C263" i="4"/>
  <c r="C420" i="4"/>
  <c r="C380" i="4"/>
  <c r="C340" i="4"/>
  <c r="C481" i="4"/>
  <c r="C465" i="4"/>
  <c r="C425" i="4"/>
  <c r="C417" i="4"/>
  <c r="C409" i="4"/>
  <c r="C337" i="4"/>
  <c r="C297" i="4"/>
  <c r="C289" i="4"/>
  <c r="C281" i="4"/>
  <c r="C273" i="4"/>
  <c r="C411" i="4"/>
  <c r="C331" i="4"/>
  <c r="C323" i="4"/>
  <c r="C259" i="4"/>
  <c r="C438" i="4"/>
  <c r="C223" i="4"/>
  <c r="C175" i="4"/>
  <c r="C159" i="4"/>
  <c r="C143" i="4"/>
  <c r="C135" i="4"/>
  <c r="C111" i="4"/>
  <c r="C478" i="4"/>
  <c r="C244" i="4"/>
  <c r="C196" i="4"/>
  <c r="C180" i="4"/>
  <c r="C164" i="4"/>
  <c r="C140" i="4"/>
  <c r="C124" i="4"/>
  <c r="C84" i="4"/>
  <c r="C76" i="4"/>
  <c r="C233" i="4"/>
  <c r="C161" i="4"/>
  <c r="C145" i="4"/>
  <c r="C129" i="4"/>
  <c r="C113" i="4"/>
  <c r="C105" i="4"/>
  <c r="C430" i="4"/>
  <c r="C214" i="4"/>
  <c r="C150" i="4"/>
  <c r="C102" i="4"/>
  <c r="C86" i="4"/>
  <c r="C62" i="4"/>
  <c r="C278" i="4"/>
  <c r="C251" i="4"/>
  <c r="C235" i="4"/>
  <c r="C227" i="4"/>
  <c r="C179" i="4"/>
  <c r="C115" i="4"/>
  <c r="C107" i="4"/>
  <c r="C398" i="4"/>
  <c r="C226" i="4"/>
  <c r="C218" i="4"/>
  <c r="C194" i="4"/>
  <c r="C186" i="4"/>
  <c r="C178" i="4"/>
  <c r="C106" i="4"/>
  <c r="C98" i="4"/>
  <c r="M7" i="4"/>
  <c r="C12" i="4"/>
  <c r="C20" i="4"/>
  <c r="C44" i="4"/>
  <c r="C160" i="4"/>
  <c r="C256" i="4"/>
  <c r="C10" i="4"/>
  <c r="C39" i="4"/>
  <c r="C109" i="4"/>
  <c r="C205" i="4"/>
  <c r="C5" i="4"/>
  <c r="C50" i="4"/>
  <c r="C88" i="4"/>
  <c r="C152" i="4"/>
  <c r="C446" i="4"/>
  <c r="C8" i="4"/>
  <c r="C45" i="4"/>
  <c r="C69" i="4"/>
  <c r="C3" i="4"/>
  <c r="C80" i="4"/>
  <c r="C144" i="4"/>
  <c r="C128" i="4" l="1"/>
  <c r="C170" i="4"/>
  <c r="C67" i="4"/>
  <c r="C195" i="4"/>
  <c r="C57" i="4"/>
  <c r="C185" i="4"/>
  <c r="C148" i="4"/>
  <c r="C414" i="4"/>
  <c r="C167" i="4"/>
  <c r="C361" i="4"/>
  <c r="C388" i="4"/>
  <c r="C295" i="4"/>
  <c r="C258" i="4"/>
  <c r="C450" i="4"/>
  <c r="C349" i="4"/>
  <c r="C384" i="4"/>
  <c r="C318" i="4"/>
  <c r="C46" i="4"/>
  <c r="C96" i="4"/>
  <c r="C242" i="4"/>
  <c r="C75" i="4"/>
  <c r="C203" i="4"/>
  <c r="C65" i="4"/>
  <c r="C193" i="4"/>
  <c r="C262" i="4"/>
  <c r="C156" i="4"/>
  <c r="C339" i="4"/>
  <c r="C403" i="4"/>
  <c r="C369" i="4"/>
  <c r="C268" i="4"/>
  <c r="C396" i="4"/>
  <c r="C460" i="4"/>
  <c r="C367" i="4"/>
  <c r="C431" i="4"/>
  <c r="C458" i="4"/>
  <c r="C293" i="4"/>
  <c r="C357" i="4"/>
  <c r="C456" i="4"/>
  <c r="C232" i="4"/>
  <c r="C157" i="4"/>
  <c r="C51" i="4"/>
  <c r="N7" i="4"/>
  <c r="C253" i="4"/>
  <c r="C6" i="4"/>
  <c r="C61" i="4"/>
  <c r="C43" i="4"/>
  <c r="C19" i="4"/>
  <c r="C221" i="4"/>
  <c r="C35" i="4"/>
  <c r="C48" i="4"/>
  <c r="C294" i="4"/>
  <c r="C248" i="4"/>
  <c r="C42" i="4"/>
  <c r="C173" i="4"/>
  <c r="C15" i="4"/>
  <c r="C64" i="4"/>
  <c r="C58" i="4"/>
  <c r="C122" i="4"/>
  <c r="C250" i="4"/>
  <c r="C83" i="4"/>
  <c r="C147" i="4"/>
  <c r="C211" i="4"/>
  <c r="C406" i="4"/>
  <c r="C110" i="4"/>
  <c r="C174" i="4"/>
  <c r="C238" i="4"/>
  <c r="C73" i="4"/>
  <c r="C137" i="4"/>
  <c r="C201" i="4"/>
  <c r="C326" i="4"/>
  <c r="C100" i="4"/>
  <c r="C228" i="4"/>
  <c r="C55" i="4"/>
  <c r="C119" i="4"/>
  <c r="C183" i="4"/>
  <c r="C247" i="4"/>
  <c r="C283" i="4"/>
  <c r="C347" i="4"/>
  <c r="C475" i="4"/>
  <c r="C313" i="4"/>
  <c r="C377" i="4"/>
  <c r="C441" i="4"/>
  <c r="C276" i="4"/>
  <c r="C404" i="4"/>
  <c r="C468" i="4"/>
  <c r="C311" i="4"/>
  <c r="C375" i="4"/>
  <c r="C274" i="4"/>
  <c r="C338" i="4"/>
  <c r="C402" i="4"/>
  <c r="C466" i="4"/>
  <c r="C365" i="4"/>
  <c r="C336" i="4"/>
  <c r="C400" i="4"/>
  <c r="C464" i="4"/>
  <c r="C85" i="4"/>
  <c r="C200" i="4"/>
  <c r="C40" i="4"/>
  <c r="C37" i="4"/>
  <c r="C34" i="4"/>
  <c r="C66" i="4"/>
  <c r="C130" i="4"/>
  <c r="C270" i="4"/>
  <c r="C91" i="4"/>
  <c r="C155" i="4"/>
  <c r="C219" i="4"/>
  <c r="C470" i="4"/>
  <c r="C118" i="4"/>
  <c r="C182" i="4"/>
  <c r="C246" i="4"/>
  <c r="C81" i="4"/>
  <c r="C209" i="4"/>
  <c r="C390" i="4"/>
  <c r="C108" i="4"/>
  <c r="C172" i="4"/>
  <c r="C236" i="4"/>
  <c r="C63" i="4"/>
  <c r="C127" i="4"/>
  <c r="C191" i="4"/>
  <c r="C255" i="4"/>
  <c r="C291" i="4"/>
  <c r="C355" i="4"/>
  <c r="C419" i="4"/>
  <c r="C257" i="4"/>
  <c r="C321" i="4"/>
  <c r="C385" i="4"/>
  <c r="C449" i="4"/>
  <c r="C284" i="4"/>
  <c r="C348" i="4"/>
  <c r="C412" i="4"/>
  <c r="C476" i="4"/>
  <c r="C319" i="4"/>
  <c r="C383" i="4"/>
  <c r="C447" i="4"/>
  <c r="C282" i="4"/>
  <c r="C346" i="4"/>
  <c r="C474" i="4"/>
  <c r="C437" i="4"/>
  <c r="C472" i="4"/>
  <c r="C49" i="4"/>
  <c r="C168" i="4"/>
  <c r="C22" i="4"/>
  <c r="C382" i="4"/>
  <c r="C229" i="4"/>
  <c r="C216" i="4"/>
  <c r="C141" i="4"/>
  <c r="C52" i="4"/>
  <c r="C240" i="4"/>
  <c r="C32" i="4"/>
  <c r="C197" i="4"/>
  <c r="C29" i="4"/>
  <c r="C184" i="4"/>
  <c r="C26" i="4"/>
  <c r="C74" i="4"/>
  <c r="C138" i="4"/>
  <c r="C202" i="4"/>
  <c r="C334" i="4"/>
  <c r="C99" i="4"/>
  <c r="C163" i="4"/>
  <c r="C126" i="4"/>
  <c r="C190" i="4"/>
  <c r="C254" i="4"/>
  <c r="C89" i="4"/>
  <c r="C153" i="4"/>
  <c r="C217" i="4"/>
  <c r="C454" i="4"/>
  <c r="C116" i="4"/>
  <c r="C71" i="4"/>
  <c r="C199" i="4"/>
  <c r="C310" i="4"/>
  <c r="C299" i="4"/>
  <c r="C363" i="4"/>
  <c r="C427" i="4"/>
  <c r="C265" i="4"/>
  <c r="C329" i="4"/>
  <c r="C393" i="4"/>
  <c r="C457" i="4"/>
  <c r="C292" i="4"/>
  <c r="C356" i="4"/>
  <c r="C327" i="4"/>
  <c r="C391" i="4"/>
  <c r="C455" i="4"/>
  <c r="C290" i="4"/>
  <c r="C354" i="4"/>
  <c r="C418" i="4"/>
  <c r="C482" i="4"/>
  <c r="C317" i="4"/>
  <c r="C381" i="4"/>
  <c r="C445" i="4"/>
  <c r="C288" i="4"/>
  <c r="C416" i="4"/>
  <c r="C480" i="4"/>
  <c r="C41" i="4"/>
  <c r="C136" i="4"/>
  <c r="C14" i="4"/>
  <c r="D3" i="4"/>
  <c r="E3" i="4"/>
  <c r="C208" i="4"/>
  <c r="C165" i="4"/>
  <c r="C18" i="4"/>
  <c r="C77" i="4"/>
  <c r="C224" i="4"/>
  <c r="C36" i="4"/>
  <c r="C82" i="4"/>
  <c r="C146" i="4"/>
  <c r="C210" i="4"/>
  <c r="C171" i="4"/>
  <c r="C70" i="4"/>
  <c r="C134" i="4"/>
  <c r="C198" i="4"/>
  <c r="C302" i="4"/>
  <c r="C97" i="4"/>
  <c r="C225" i="4"/>
  <c r="C60" i="4"/>
  <c r="C188" i="4"/>
  <c r="C252" i="4"/>
  <c r="C79" i="4"/>
  <c r="C207" i="4"/>
  <c r="C374" i="4"/>
  <c r="C307" i="4"/>
  <c r="C371" i="4"/>
  <c r="C435" i="4"/>
  <c r="C401" i="4"/>
  <c r="C300" i="4"/>
  <c r="C364" i="4"/>
  <c r="C428" i="4"/>
  <c r="C271" i="4"/>
  <c r="C335" i="4"/>
  <c r="C399" i="4"/>
  <c r="C463" i="4"/>
  <c r="C362" i="4"/>
  <c r="C426" i="4"/>
  <c r="C261" i="4"/>
  <c r="C325" i="4"/>
  <c r="C389" i="4"/>
  <c r="C453" i="4"/>
  <c r="C296" i="4"/>
  <c r="C360" i="4"/>
  <c r="C245" i="4"/>
  <c r="C104" i="4"/>
  <c r="C9" i="4"/>
  <c r="C24" i="4"/>
  <c r="C21" i="4"/>
  <c r="C176" i="4"/>
  <c r="C16" i="4"/>
  <c r="C133" i="4"/>
  <c r="C13" i="4"/>
  <c r="C120" i="4"/>
  <c r="C47" i="4"/>
  <c r="C192" i="4"/>
  <c r="C28" i="4"/>
  <c r="C90" i="4"/>
  <c r="C154" i="4"/>
  <c r="C462" i="4"/>
  <c r="C243" i="4"/>
  <c r="C78" i="4"/>
  <c r="C142" i="4"/>
  <c r="C206" i="4"/>
  <c r="C366" i="4"/>
  <c r="C169" i="4"/>
  <c r="C68" i="4"/>
  <c r="C132" i="4"/>
  <c r="C286" i="4"/>
  <c r="C87" i="4"/>
  <c r="C151" i="4"/>
  <c r="C215" i="4"/>
  <c r="C315" i="4"/>
  <c r="C379" i="4"/>
  <c r="C443" i="4"/>
  <c r="C345" i="4"/>
  <c r="C473" i="4"/>
  <c r="C308" i="4"/>
  <c r="C372" i="4"/>
  <c r="C436" i="4"/>
  <c r="C279" i="4"/>
  <c r="C343" i="4"/>
  <c r="C434" i="4"/>
  <c r="C269" i="4"/>
  <c r="C461" i="4"/>
  <c r="C304" i="4"/>
  <c r="C368" i="4"/>
  <c r="C213" i="4"/>
  <c r="C25" i="4"/>
  <c r="C72" i="4"/>
  <c r="C422" i="4"/>
  <c r="O7" i="4" l="1"/>
  <c r="C53" i="4"/>
  <c r="C314" i="4"/>
  <c r="C95" i="4"/>
  <c r="C187" i="4"/>
  <c r="C442" i="4"/>
  <c r="C444" i="4"/>
  <c r="C451" i="4"/>
  <c r="C350" i="4"/>
  <c r="C59" i="4"/>
  <c r="C101" i="4"/>
  <c r="C353" i="4"/>
  <c r="C241" i="4"/>
  <c r="C11" i="4"/>
  <c r="C23" i="4"/>
  <c r="C112" i="4"/>
  <c r="C469" i="4"/>
  <c r="C277" i="4"/>
  <c r="C287" i="4"/>
  <c r="C204" i="4"/>
  <c r="C479" i="4"/>
  <c r="C181" i="4"/>
  <c r="C316" i="4"/>
  <c r="C177" i="4"/>
  <c r="C123" i="4"/>
  <c r="C358" i="4"/>
  <c r="C7" i="4"/>
  <c r="C378" i="4"/>
  <c r="C387" i="4"/>
  <c r="C162" i="4"/>
  <c r="C303" i="4"/>
  <c r="C467" i="4"/>
  <c r="C413" i="4"/>
  <c r="C452" i="4"/>
  <c r="C231" i="4"/>
  <c r="C121" i="4"/>
  <c r="C234" i="4"/>
  <c r="C114" i="4"/>
  <c r="C324" i="4"/>
  <c r="C103" i="4"/>
  <c r="C222" i="4"/>
  <c r="C189" i="4"/>
  <c r="C394" i="4"/>
  <c r="C332" i="4"/>
  <c r="C275" i="4"/>
  <c r="C230" i="4"/>
  <c r="C322" i="4"/>
  <c r="C260" i="4"/>
  <c r="C158" i="4"/>
  <c r="C31" i="4"/>
  <c r="C330" i="4"/>
  <c r="C239" i="4"/>
  <c r="C166" i="4"/>
  <c r="C212" i="4"/>
  <c r="C94" i="4"/>
  <c r="C237" i="4"/>
  <c r="C117" i="4"/>
  <c r="C266" i="4"/>
  <c r="C433" i="4"/>
  <c r="C220" i="4"/>
  <c r="C342" i="4"/>
  <c r="C423" i="4"/>
  <c r="C459" i="4"/>
  <c r="C56" i="4"/>
  <c r="C359" i="4"/>
  <c r="C395" i="4"/>
  <c r="C249" i="4"/>
  <c r="C131" i="4"/>
  <c r="C4" i="4"/>
  <c r="C328" i="4"/>
  <c r="C305" i="4"/>
  <c r="C92" i="4"/>
  <c r="C139" i="4"/>
  <c r="C477" i="4"/>
  <c r="C267" i="4"/>
  <c r="C38" i="4"/>
  <c r="D4" i="4" l="1"/>
  <c r="E4" i="4"/>
  <c r="E5" i="4" l="1"/>
  <c r="D5" i="4"/>
  <c r="E6" i="4" l="1"/>
  <c r="D6" i="4"/>
  <c r="E7" i="4" l="1"/>
  <c r="D7" i="4"/>
  <c r="D8" i="4" l="1"/>
  <c r="E8" i="4"/>
  <c r="D9" i="4" l="1"/>
  <c r="E9" i="4"/>
  <c r="E10" i="4" l="1"/>
  <c r="D10" i="4"/>
  <c r="D11" i="4" l="1"/>
  <c r="E11" i="4"/>
  <c r="E12" i="4" l="1"/>
  <c r="D12" i="4"/>
  <c r="D13" i="4" l="1"/>
  <c r="E13" i="4"/>
  <c r="E14" i="4" l="1"/>
  <c r="D14" i="4"/>
  <c r="E15" i="4" l="1"/>
  <c r="D15" i="4"/>
  <c r="D16" i="4" l="1"/>
  <c r="E16" i="4"/>
  <c r="E17" i="4" l="1"/>
  <c r="D17" i="4"/>
  <c r="E18" i="4" l="1"/>
  <c r="D18" i="4"/>
  <c r="E19" i="4" l="1"/>
  <c r="D19" i="4"/>
  <c r="E20" i="4" l="1"/>
  <c r="D20" i="4"/>
  <c r="D21" i="4" l="1"/>
  <c r="E21" i="4"/>
  <c r="E22" i="4" l="1"/>
  <c r="D22" i="4"/>
  <c r="E23" i="4" l="1"/>
  <c r="D23" i="4"/>
  <c r="E24" i="4" l="1"/>
  <c r="D24" i="4"/>
  <c r="E25" i="4" l="1"/>
  <c r="D25" i="4"/>
  <c r="E26" i="4" l="1"/>
  <c r="D26" i="4"/>
  <c r="E27" i="4" l="1"/>
  <c r="D27" i="4"/>
  <c r="E28" i="4" l="1"/>
  <c r="D28" i="4"/>
  <c r="D29" i="4" l="1"/>
  <c r="E29" i="4"/>
  <c r="E30" i="4" l="1"/>
  <c r="D30" i="4"/>
  <c r="E31" i="4" l="1"/>
  <c r="D31" i="4"/>
  <c r="D32" i="4" l="1"/>
  <c r="E32" i="4"/>
  <c r="E33" i="4" l="1"/>
  <c r="D33" i="4"/>
  <c r="E34" i="4" l="1"/>
  <c r="D34" i="4"/>
  <c r="E35" i="4" l="1"/>
  <c r="D35" i="4"/>
  <c r="E36" i="4" l="1"/>
  <c r="D36" i="4"/>
  <c r="D37" i="4" l="1"/>
  <c r="E37" i="4"/>
  <c r="E38" i="4" l="1"/>
  <c r="D38" i="4"/>
  <c r="E39" i="4" l="1"/>
  <c r="D39" i="4"/>
  <c r="E40" i="4" l="1"/>
  <c r="D40" i="4"/>
  <c r="E41" i="4" l="1"/>
  <c r="D41" i="4"/>
  <c r="E42" i="4" l="1"/>
  <c r="D42" i="4"/>
  <c r="E43" i="4" l="1"/>
  <c r="D43" i="4"/>
  <c r="E44" i="4" l="1"/>
  <c r="D44" i="4"/>
  <c r="D45" i="4" l="1"/>
  <c r="E45" i="4"/>
  <c r="E46" i="4" l="1"/>
  <c r="D46" i="4"/>
  <c r="E47" i="4" l="1"/>
  <c r="D47" i="4"/>
  <c r="D48" i="4" l="1"/>
  <c r="E48" i="4"/>
  <c r="E49" i="4" l="1"/>
  <c r="D49" i="4"/>
  <c r="E50" i="4" l="1"/>
  <c r="D50" i="4"/>
  <c r="E51" i="4" l="1"/>
  <c r="D51" i="4"/>
  <c r="E52" i="4" l="1"/>
  <c r="D52" i="4"/>
  <c r="D53" i="4" l="1"/>
  <c r="E53" i="4"/>
  <c r="D54" i="4" l="1"/>
  <c r="E54" i="4"/>
  <c r="E55" i="4" l="1"/>
  <c r="D55" i="4"/>
  <c r="E56" i="4" l="1"/>
  <c r="D56" i="4"/>
  <c r="E57" i="4" l="1"/>
  <c r="D57" i="4"/>
  <c r="E58" i="4" l="1"/>
  <c r="D58" i="4"/>
  <c r="E59" i="4" l="1"/>
  <c r="D59" i="4"/>
  <c r="D60" i="4" l="1"/>
  <c r="E60" i="4"/>
  <c r="E61" i="4" l="1"/>
  <c r="D61" i="4"/>
  <c r="E62" i="4" l="1"/>
  <c r="D62" i="4"/>
  <c r="D63" i="4" l="1"/>
  <c r="E63" i="4"/>
  <c r="E64" i="4" l="1"/>
  <c r="D64" i="4"/>
  <c r="E65" i="4" l="1"/>
  <c r="D65" i="4"/>
  <c r="E66" i="4" l="1"/>
  <c r="D66" i="4"/>
  <c r="E67" i="4" l="1"/>
  <c r="D67" i="4"/>
  <c r="D68" i="4" l="1"/>
  <c r="E68" i="4"/>
  <c r="E69" i="4" l="1"/>
  <c r="D69" i="4"/>
  <c r="E70" i="4" l="1"/>
  <c r="D70" i="4"/>
  <c r="D71" i="4" l="1"/>
  <c r="E71" i="4"/>
  <c r="E72" i="4" l="1"/>
  <c r="D72" i="4"/>
  <c r="E73" i="4" l="1"/>
  <c r="D73" i="4"/>
  <c r="E74" i="4" l="1"/>
  <c r="D74" i="4"/>
  <c r="E75" i="4" l="1"/>
  <c r="D75" i="4"/>
  <c r="D76" i="4" l="1"/>
  <c r="E76" i="4"/>
  <c r="E77" i="4" l="1"/>
  <c r="D77" i="4"/>
  <c r="E78" i="4" l="1"/>
  <c r="D78" i="4"/>
  <c r="D79" i="4" l="1"/>
  <c r="E79" i="4"/>
  <c r="E80" i="4" l="1"/>
  <c r="D80" i="4"/>
  <c r="E81" i="4" l="1"/>
  <c r="D81" i="4"/>
  <c r="D82" i="4" l="1"/>
  <c r="E82" i="4"/>
  <c r="E83" i="4" l="1"/>
  <c r="D83" i="4"/>
  <c r="D84" i="4" l="1"/>
  <c r="E84" i="4"/>
  <c r="E85" i="4" l="1"/>
  <c r="D85" i="4"/>
  <c r="E86" i="4" l="1"/>
  <c r="D86" i="4"/>
  <c r="D87" i="4" l="1"/>
  <c r="E87" i="4"/>
  <c r="E88" i="4" l="1"/>
  <c r="D88" i="4"/>
  <c r="E89" i="4" l="1"/>
  <c r="D89" i="4"/>
  <c r="E90" i="4" l="1"/>
  <c r="D90" i="4"/>
  <c r="E91" i="4" l="1"/>
  <c r="D91" i="4"/>
  <c r="D92" i="4" l="1"/>
  <c r="E92" i="4"/>
  <c r="E93" i="4" l="1"/>
  <c r="D93" i="4"/>
  <c r="E94" i="4" l="1"/>
  <c r="D94" i="4"/>
  <c r="D95" i="4" l="1"/>
  <c r="E95" i="4"/>
  <c r="E96" i="4" l="1"/>
  <c r="D96" i="4"/>
  <c r="E97" i="4" l="1"/>
  <c r="D97" i="4"/>
  <c r="E98" i="4" l="1"/>
  <c r="D98" i="4"/>
  <c r="E99" i="4" l="1"/>
  <c r="D99" i="4"/>
  <c r="D100" i="4" l="1"/>
  <c r="E100" i="4"/>
  <c r="E101" i="4" l="1"/>
  <c r="D101" i="4"/>
  <c r="E102" i="4" l="1"/>
  <c r="D102" i="4"/>
  <c r="D103" i="4" l="1"/>
  <c r="E103" i="4"/>
  <c r="E104" i="4" l="1"/>
  <c r="D104" i="4"/>
  <c r="E105" i="4" l="1"/>
  <c r="D105" i="4"/>
  <c r="E106" i="4" l="1"/>
  <c r="D106" i="4"/>
  <c r="E107" i="4" l="1"/>
  <c r="D107" i="4"/>
  <c r="D108" i="4" l="1"/>
  <c r="E108" i="4"/>
  <c r="E109" i="4" l="1"/>
  <c r="D109" i="4"/>
  <c r="E110" i="4" l="1"/>
  <c r="D110" i="4"/>
  <c r="D111" i="4" l="1"/>
  <c r="E111" i="4"/>
  <c r="E112" i="4" l="1"/>
  <c r="D112" i="4"/>
  <c r="E113" i="4" l="1"/>
  <c r="D113" i="4"/>
  <c r="D114" i="4" l="1"/>
  <c r="E114" i="4"/>
  <c r="E115" i="4" l="1"/>
  <c r="D115" i="4"/>
  <c r="D116" i="4" l="1"/>
  <c r="E116" i="4"/>
  <c r="E117" i="4" l="1"/>
  <c r="D117" i="4"/>
  <c r="E118" i="4" l="1"/>
  <c r="D118" i="4"/>
  <c r="D119" i="4" l="1"/>
  <c r="E119" i="4"/>
  <c r="E120" i="4" l="1"/>
  <c r="D120" i="4"/>
  <c r="E121" i="4" l="1"/>
  <c r="D121" i="4"/>
  <c r="E122" i="4" l="1"/>
  <c r="D122" i="4"/>
  <c r="E123" i="4" l="1"/>
  <c r="D123" i="4"/>
  <c r="D124" i="4" l="1"/>
  <c r="E124" i="4"/>
  <c r="E125" i="4" l="1"/>
  <c r="D125" i="4"/>
  <c r="E126" i="4" l="1"/>
  <c r="D126" i="4"/>
  <c r="D127" i="4" l="1"/>
  <c r="E127" i="4"/>
  <c r="E128" i="4" l="1"/>
  <c r="D128" i="4"/>
  <c r="E129" i="4" l="1"/>
  <c r="D129" i="4"/>
  <c r="E130" i="4" l="1"/>
  <c r="D130" i="4"/>
  <c r="E131" i="4" l="1"/>
  <c r="D131" i="4"/>
  <c r="D132" i="4" l="1"/>
  <c r="E132" i="4"/>
  <c r="E133" i="4" l="1"/>
  <c r="D133" i="4"/>
  <c r="E134" i="4" l="1"/>
  <c r="D134" i="4"/>
  <c r="D135" i="4" l="1"/>
  <c r="E135" i="4"/>
  <c r="E136" i="4" l="1"/>
  <c r="D136" i="4"/>
  <c r="E137" i="4" l="1"/>
  <c r="D137" i="4"/>
  <c r="E138" i="4" l="1"/>
  <c r="D138" i="4"/>
  <c r="E139" i="4" l="1"/>
  <c r="D139" i="4"/>
  <c r="D140" i="4" l="1"/>
  <c r="E140" i="4"/>
  <c r="E141" i="4" l="1"/>
  <c r="D141" i="4"/>
  <c r="E142" i="4" l="1"/>
  <c r="D142" i="4"/>
  <c r="D143" i="4" l="1"/>
  <c r="E143" i="4"/>
  <c r="E144" i="4" l="1"/>
  <c r="D144" i="4"/>
  <c r="E145" i="4" l="1"/>
  <c r="D145" i="4"/>
  <c r="D146" i="4" l="1"/>
  <c r="E146" i="4"/>
  <c r="E147" i="4" l="1"/>
  <c r="D147" i="4"/>
  <c r="D148" i="4" l="1"/>
  <c r="E148" i="4"/>
  <c r="E149" i="4" l="1"/>
  <c r="D149" i="4"/>
  <c r="E150" i="4" l="1"/>
  <c r="D150" i="4"/>
  <c r="D151" i="4" l="1"/>
  <c r="E151" i="4"/>
  <c r="E152" i="4" l="1"/>
  <c r="D152" i="4"/>
  <c r="E153" i="4" l="1"/>
  <c r="D153" i="4"/>
  <c r="E154" i="4" l="1"/>
  <c r="D154" i="4"/>
  <c r="E155" i="4" l="1"/>
  <c r="D155" i="4"/>
  <c r="D156" i="4" l="1"/>
  <c r="E156" i="4"/>
  <c r="E157" i="4" l="1"/>
  <c r="D157" i="4"/>
  <c r="E158" i="4" l="1"/>
  <c r="D158" i="4"/>
  <c r="D159" i="4" l="1"/>
  <c r="E159" i="4"/>
  <c r="E160" i="4" l="1"/>
  <c r="D160" i="4"/>
  <c r="E161" i="4" l="1"/>
  <c r="D161" i="4"/>
  <c r="E162" i="4" l="1"/>
  <c r="D162" i="4"/>
  <c r="E163" i="4" l="1"/>
  <c r="D163" i="4"/>
  <c r="D164" i="4" l="1"/>
  <c r="E164" i="4"/>
  <c r="E165" i="4" l="1"/>
  <c r="D165" i="4"/>
  <c r="E166" i="4" l="1"/>
  <c r="D166" i="4"/>
  <c r="D167" i="4" l="1"/>
  <c r="E167" i="4"/>
  <c r="E168" i="4" l="1"/>
  <c r="D168" i="4"/>
  <c r="E169" i="4" l="1"/>
  <c r="D169" i="4"/>
  <c r="E170" i="4" l="1"/>
  <c r="D170" i="4"/>
  <c r="E171" i="4" l="1"/>
  <c r="D171" i="4"/>
  <c r="D172" i="4" l="1"/>
  <c r="E172" i="4"/>
  <c r="E173" i="4" l="1"/>
  <c r="D173" i="4"/>
  <c r="E174" i="4" l="1"/>
  <c r="D174" i="4"/>
  <c r="D175" i="4" l="1"/>
  <c r="E175" i="4"/>
  <c r="E176" i="4" l="1"/>
  <c r="D176" i="4"/>
  <c r="E177" i="4" l="1"/>
  <c r="D177" i="4"/>
  <c r="D178" i="4" l="1"/>
  <c r="E178" i="4"/>
  <c r="E179" i="4" l="1"/>
  <c r="D179" i="4"/>
  <c r="D180" i="4" l="1"/>
  <c r="E180" i="4"/>
  <c r="E181" i="4" l="1"/>
  <c r="D181" i="4"/>
  <c r="E182" i="4" l="1"/>
  <c r="D182" i="4"/>
  <c r="D183" i="4" l="1"/>
  <c r="E183" i="4"/>
  <c r="E184" i="4" l="1"/>
  <c r="D184" i="4"/>
  <c r="E185" i="4" l="1"/>
  <c r="D185" i="4"/>
  <c r="E186" i="4" l="1"/>
  <c r="D186" i="4"/>
  <c r="E187" i="4" l="1"/>
  <c r="D187" i="4"/>
  <c r="D188" i="4" l="1"/>
  <c r="E188" i="4"/>
  <c r="E189" i="4" l="1"/>
  <c r="D189" i="4"/>
  <c r="E190" i="4" l="1"/>
  <c r="D190" i="4"/>
  <c r="D191" i="4" l="1"/>
  <c r="E191" i="4"/>
  <c r="E192" i="4" l="1"/>
  <c r="D192" i="4"/>
  <c r="E193" i="4" l="1"/>
  <c r="D193" i="4"/>
  <c r="E194" i="4" l="1"/>
  <c r="D194" i="4"/>
  <c r="E195" i="4" l="1"/>
  <c r="D195" i="4"/>
  <c r="D196" i="4" l="1"/>
  <c r="E196" i="4"/>
  <c r="E197" i="4" l="1"/>
  <c r="D197" i="4"/>
  <c r="E198" i="4" l="1"/>
  <c r="D198" i="4"/>
  <c r="D199" i="4" l="1"/>
  <c r="E199" i="4"/>
  <c r="E200" i="4" l="1"/>
  <c r="D200" i="4"/>
  <c r="E201" i="4" l="1"/>
  <c r="D201" i="4"/>
  <c r="E202" i="4" l="1"/>
  <c r="D202" i="4"/>
  <c r="E203" i="4" l="1"/>
  <c r="D203" i="4"/>
  <c r="D204" i="4" l="1"/>
  <c r="E204" i="4"/>
  <c r="E205" i="4" l="1"/>
  <c r="D205" i="4"/>
  <c r="E206" i="4" l="1"/>
  <c r="D206" i="4"/>
  <c r="D207" i="4" l="1"/>
  <c r="E207" i="4"/>
  <c r="E208" i="4" l="1"/>
  <c r="D208" i="4"/>
  <c r="E209" i="4" l="1"/>
  <c r="D209" i="4"/>
  <c r="D210" i="4" l="1"/>
  <c r="E210" i="4"/>
  <c r="E211" i="4" l="1"/>
  <c r="D211" i="4"/>
  <c r="D212" i="4" l="1"/>
  <c r="E212" i="4"/>
  <c r="E213" i="4" l="1"/>
  <c r="D213" i="4"/>
  <c r="E214" i="4" l="1"/>
  <c r="D214" i="4"/>
  <c r="D215" i="4" l="1"/>
  <c r="E215" i="4"/>
  <c r="E216" i="4" l="1"/>
  <c r="D216" i="4"/>
  <c r="E217" i="4" l="1"/>
  <c r="D217" i="4"/>
  <c r="E218" i="4" l="1"/>
  <c r="D218" i="4"/>
  <c r="E219" i="4" l="1"/>
  <c r="D219" i="4"/>
  <c r="D220" i="4" l="1"/>
  <c r="E220" i="4"/>
  <c r="E221" i="4" l="1"/>
  <c r="D221" i="4"/>
  <c r="E222" i="4" l="1"/>
  <c r="D222" i="4"/>
  <c r="D223" i="4" l="1"/>
  <c r="E223" i="4"/>
  <c r="E224" i="4" l="1"/>
  <c r="D224" i="4"/>
  <c r="E225" i="4" l="1"/>
  <c r="D225" i="4"/>
  <c r="E226" i="4" l="1"/>
  <c r="D226" i="4"/>
  <c r="E227" i="4" l="1"/>
  <c r="D227" i="4"/>
  <c r="D228" i="4" l="1"/>
  <c r="E228" i="4"/>
  <c r="E229" i="4" l="1"/>
  <c r="D229" i="4"/>
  <c r="E230" i="4" l="1"/>
  <c r="D230" i="4"/>
  <c r="D231" i="4" l="1"/>
  <c r="E231" i="4"/>
  <c r="E232" i="4" l="1"/>
  <c r="D232" i="4"/>
  <c r="E233" i="4" l="1"/>
  <c r="D233" i="4"/>
  <c r="E234" i="4" l="1"/>
  <c r="D234" i="4"/>
  <c r="E235" i="4" l="1"/>
  <c r="D235" i="4"/>
  <c r="D236" i="4" l="1"/>
  <c r="E236" i="4"/>
  <c r="E237" i="4" l="1"/>
  <c r="D237" i="4"/>
  <c r="E238" i="4" l="1"/>
  <c r="D238" i="4"/>
  <c r="D239" i="4" l="1"/>
  <c r="E239" i="4"/>
  <c r="E240" i="4" l="1"/>
  <c r="D240" i="4"/>
  <c r="E241" i="4" l="1"/>
  <c r="D241" i="4"/>
  <c r="D242" i="4" l="1"/>
  <c r="E242" i="4"/>
  <c r="E243" i="4" l="1"/>
  <c r="D243" i="4"/>
  <c r="D244" i="4" l="1"/>
  <c r="E244" i="4"/>
  <c r="E245" i="4" l="1"/>
  <c r="D245" i="4"/>
  <c r="E246" i="4" l="1"/>
  <c r="D246" i="4"/>
  <c r="D247" i="4" l="1"/>
  <c r="E247" i="4"/>
  <c r="E248" i="4" l="1"/>
  <c r="D248" i="4"/>
  <c r="E249" i="4" l="1"/>
  <c r="D249" i="4"/>
  <c r="E250" i="4" l="1"/>
  <c r="D250" i="4"/>
  <c r="E251" i="4" l="1"/>
  <c r="D251" i="4"/>
  <c r="D252" i="4" l="1"/>
  <c r="E252" i="4"/>
  <c r="E253" i="4" l="1"/>
  <c r="D253" i="4"/>
  <c r="E254" i="4" l="1"/>
  <c r="D254" i="4"/>
  <c r="D255" i="4" l="1"/>
  <c r="E255" i="4"/>
  <c r="D256" i="4" l="1"/>
  <c r="E256" i="4"/>
  <c r="E257" i="4" l="1"/>
  <c r="D257" i="4"/>
  <c r="E258" i="4" l="1"/>
  <c r="D258" i="4"/>
  <c r="E259" i="4" l="1"/>
  <c r="D259" i="4"/>
  <c r="E260" i="4" l="1"/>
  <c r="D260" i="4"/>
  <c r="D261" i="4" l="1"/>
  <c r="E261" i="4"/>
  <c r="E262" i="4" l="1"/>
  <c r="D262" i="4"/>
  <c r="E263" i="4" l="1"/>
  <c r="D263" i="4"/>
  <c r="D264" i="4" l="1"/>
  <c r="E264" i="4"/>
  <c r="E265" i="4" l="1"/>
  <c r="D265" i="4"/>
  <c r="E266" i="4" l="1"/>
  <c r="D266" i="4"/>
  <c r="E267" i="4" l="1"/>
  <c r="D267" i="4"/>
  <c r="E268" i="4" l="1"/>
  <c r="D268" i="4"/>
  <c r="D269" i="4" l="1"/>
  <c r="E269" i="4"/>
  <c r="E270" i="4" l="1"/>
  <c r="D270" i="4"/>
  <c r="E271" i="4" l="1"/>
  <c r="D271" i="4"/>
  <c r="D272" i="4" l="1"/>
  <c r="E272" i="4"/>
  <c r="E273" i="4" l="1"/>
  <c r="D273" i="4"/>
  <c r="E274" i="4" l="1"/>
  <c r="D274" i="4"/>
  <c r="E275" i="4" l="1"/>
  <c r="D275" i="4"/>
  <c r="E276" i="4" l="1"/>
  <c r="D276" i="4"/>
  <c r="D277" i="4" l="1"/>
  <c r="E277" i="4"/>
  <c r="E278" i="4" l="1"/>
  <c r="D278" i="4"/>
  <c r="E279" i="4" l="1"/>
  <c r="D279" i="4"/>
  <c r="D280" i="4" l="1"/>
  <c r="E280" i="4"/>
  <c r="E281" i="4" l="1"/>
  <c r="D281" i="4"/>
  <c r="E282" i="4" l="1"/>
  <c r="D282" i="4"/>
  <c r="E283" i="4" l="1"/>
  <c r="D283" i="4"/>
  <c r="E284" i="4" l="1"/>
  <c r="D284" i="4"/>
  <c r="D285" i="4" l="1"/>
  <c r="E285" i="4"/>
  <c r="E286" i="4" l="1"/>
  <c r="D286" i="4"/>
  <c r="E287" i="4" l="1"/>
  <c r="D287" i="4"/>
  <c r="D288" i="4" l="1"/>
  <c r="E288" i="4"/>
  <c r="E289" i="4" l="1"/>
  <c r="D289" i="4"/>
  <c r="E290" i="4" l="1"/>
  <c r="D290" i="4"/>
  <c r="E291" i="4" l="1"/>
  <c r="D291" i="4"/>
  <c r="E292" i="4" l="1"/>
  <c r="D292" i="4"/>
  <c r="D293" i="4" l="1"/>
  <c r="E293" i="4"/>
  <c r="E294" i="4" l="1"/>
  <c r="D294" i="4"/>
  <c r="E295" i="4" l="1"/>
  <c r="D295" i="4"/>
  <c r="D296" i="4" l="1"/>
  <c r="E296" i="4"/>
  <c r="E297" i="4" l="1"/>
  <c r="D297" i="4"/>
  <c r="E298" i="4" l="1"/>
  <c r="D298" i="4"/>
  <c r="E299" i="4" l="1"/>
  <c r="D299" i="4"/>
  <c r="E300" i="4" l="1"/>
  <c r="D300" i="4"/>
  <c r="D301" i="4" l="1"/>
  <c r="E301" i="4"/>
  <c r="E302" i="4" l="1"/>
  <c r="D302" i="4"/>
  <c r="E303" i="4" l="1"/>
  <c r="D303" i="4"/>
  <c r="D304" i="4" l="1"/>
  <c r="E304" i="4"/>
  <c r="E305" i="4" l="1"/>
  <c r="D305" i="4"/>
  <c r="E306" i="4" l="1"/>
  <c r="D306" i="4"/>
  <c r="E307" i="4" l="1"/>
  <c r="D307" i="4"/>
  <c r="E308" i="4" l="1"/>
  <c r="D308" i="4"/>
  <c r="D309" i="4" l="1"/>
  <c r="E309" i="4"/>
  <c r="E310" i="4" l="1"/>
  <c r="D310" i="4"/>
  <c r="E311" i="4" l="1"/>
  <c r="D311" i="4"/>
  <c r="D312" i="4" l="1"/>
  <c r="E312" i="4"/>
  <c r="E313" i="4" l="1"/>
  <c r="D313" i="4"/>
  <c r="E314" i="4" l="1"/>
  <c r="D314" i="4"/>
  <c r="E315" i="4" l="1"/>
  <c r="D315" i="4"/>
  <c r="E316" i="4" l="1"/>
  <c r="D316" i="4"/>
  <c r="D317" i="4" l="1"/>
  <c r="E317" i="4"/>
  <c r="E318" i="4" l="1"/>
  <c r="D318" i="4"/>
  <c r="E319" i="4" l="1"/>
  <c r="D319" i="4"/>
  <c r="D320" i="4" l="1"/>
  <c r="E320" i="4"/>
  <c r="E321" i="4" l="1"/>
  <c r="D321" i="4"/>
  <c r="E322" i="4" l="1"/>
  <c r="D322" i="4"/>
  <c r="E323" i="4" l="1"/>
  <c r="D323" i="4"/>
  <c r="E324" i="4" l="1"/>
  <c r="D324" i="4"/>
  <c r="D325" i="4" l="1"/>
  <c r="E325" i="4"/>
  <c r="E326" i="4" l="1"/>
  <c r="D326" i="4"/>
  <c r="E327" i="4" l="1"/>
  <c r="D327" i="4"/>
  <c r="D328" i="4" l="1"/>
  <c r="E328" i="4"/>
  <c r="E329" i="4" l="1"/>
  <c r="D329" i="4"/>
  <c r="E330" i="4" l="1"/>
  <c r="D330" i="4"/>
  <c r="E331" i="4" l="1"/>
  <c r="D331" i="4"/>
  <c r="E332" i="4" l="1"/>
  <c r="D332" i="4"/>
  <c r="D333" i="4" l="1"/>
  <c r="E333" i="4"/>
  <c r="E334" i="4" l="1"/>
  <c r="D334" i="4"/>
  <c r="E335" i="4" l="1"/>
  <c r="D335" i="4"/>
  <c r="D336" i="4" l="1"/>
  <c r="E336" i="4"/>
  <c r="E337" i="4" l="1"/>
  <c r="D337" i="4"/>
  <c r="E338" i="4" l="1"/>
  <c r="D338" i="4"/>
  <c r="E339" i="4" l="1"/>
  <c r="D339" i="4"/>
  <c r="E340" i="4" l="1"/>
  <c r="D340" i="4"/>
  <c r="D341" i="4" l="1"/>
  <c r="E341" i="4"/>
  <c r="E342" i="4" l="1"/>
  <c r="D342" i="4"/>
  <c r="E343" i="4" l="1"/>
  <c r="D343" i="4"/>
  <c r="D344" i="4" l="1"/>
  <c r="E344" i="4"/>
  <c r="E345" i="4" l="1"/>
  <c r="D345" i="4"/>
  <c r="E346" i="4" l="1"/>
  <c r="D346" i="4"/>
  <c r="E347" i="4" l="1"/>
  <c r="D347" i="4"/>
  <c r="E348" i="4" l="1"/>
  <c r="D348" i="4"/>
  <c r="D349" i="4" l="1"/>
  <c r="E349" i="4"/>
  <c r="E350" i="4" l="1"/>
  <c r="D350" i="4"/>
  <c r="E351" i="4" l="1"/>
  <c r="D351" i="4"/>
  <c r="D352" i="4" l="1"/>
  <c r="E352" i="4"/>
  <c r="E353" i="4" l="1"/>
  <c r="D353" i="4"/>
  <c r="E354" i="4" l="1"/>
  <c r="D354" i="4"/>
  <c r="E355" i="4" l="1"/>
  <c r="D355" i="4"/>
  <c r="E356" i="4" l="1"/>
  <c r="D356" i="4"/>
  <c r="D357" i="4" l="1"/>
  <c r="E357" i="4"/>
  <c r="E358" i="4" l="1"/>
  <c r="D358" i="4"/>
  <c r="E359" i="4" l="1"/>
  <c r="D359" i="4"/>
  <c r="D360" i="4" l="1"/>
  <c r="E360" i="4"/>
  <c r="E361" i="4" l="1"/>
  <c r="D361" i="4"/>
  <c r="E362" i="4" l="1"/>
  <c r="D362" i="4"/>
  <c r="E363" i="4" l="1"/>
  <c r="D363" i="4"/>
  <c r="E364" i="4" l="1"/>
  <c r="D364" i="4"/>
  <c r="D365" i="4" l="1"/>
  <c r="E365" i="4"/>
  <c r="E366" i="4" l="1"/>
  <c r="D366" i="4"/>
  <c r="E367" i="4" l="1"/>
  <c r="D367" i="4"/>
  <c r="D368" i="4" l="1"/>
  <c r="E368" i="4"/>
  <c r="E369" i="4" l="1"/>
  <c r="D369" i="4"/>
  <c r="E370" i="4" l="1"/>
  <c r="D370" i="4"/>
  <c r="E371" i="4" l="1"/>
  <c r="D371" i="4"/>
  <c r="E372" i="4" l="1"/>
  <c r="D372" i="4"/>
  <c r="D373" i="4" l="1"/>
  <c r="E373" i="4"/>
  <c r="E374" i="4" l="1"/>
  <c r="D374" i="4"/>
  <c r="E375" i="4" l="1"/>
  <c r="D375" i="4"/>
  <c r="D376" i="4" l="1"/>
  <c r="E376" i="4"/>
  <c r="E377" i="4" l="1"/>
  <c r="D377" i="4"/>
  <c r="E378" i="4" l="1"/>
  <c r="D378" i="4"/>
  <c r="E379" i="4" l="1"/>
  <c r="D379" i="4"/>
  <c r="E380" i="4" l="1"/>
  <c r="D380" i="4"/>
  <c r="D381" i="4" l="1"/>
  <c r="E381" i="4"/>
  <c r="E382" i="4" l="1"/>
  <c r="D382" i="4"/>
  <c r="E383" i="4" l="1"/>
  <c r="D383" i="4"/>
  <c r="D384" i="4" l="1"/>
  <c r="E384" i="4"/>
  <c r="E385" i="4" l="1"/>
  <c r="D385" i="4"/>
  <c r="E386" i="4" l="1"/>
  <c r="D386" i="4"/>
  <c r="E387" i="4" l="1"/>
  <c r="D387" i="4"/>
  <c r="E388" i="4" l="1"/>
  <c r="D388" i="4"/>
  <c r="D389" i="4" l="1"/>
  <c r="E389" i="4"/>
  <c r="E390" i="4" l="1"/>
  <c r="D390" i="4"/>
  <c r="E391" i="4" l="1"/>
  <c r="D391" i="4"/>
  <c r="D392" i="4" l="1"/>
  <c r="E392" i="4"/>
  <c r="E393" i="4" l="1"/>
  <c r="D393" i="4"/>
  <c r="E394" i="4" l="1"/>
  <c r="D394" i="4"/>
  <c r="E395" i="4" l="1"/>
  <c r="D395" i="4"/>
  <c r="E396" i="4" l="1"/>
  <c r="D396" i="4"/>
  <c r="D397" i="4" l="1"/>
  <c r="E397" i="4"/>
  <c r="E398" i="4" l="1"/>
  <c r="D398" i="4"/>
  <c r="E399" i="4" l="1"/>
  <c r="D399" i="4"/>
  <c r="D400" i="4" l="1"/>
  <c r="E400" i="4"/>
  <c r="E401" i="4" l="1"/>
  <c r="D401" i="4"/>
  <c r="E402" i="4" l="1"/>
  <c r="D402" i="4"/>
  <c r="E403" i="4" l="1"/>
  <c r="D403" i="4"/>
  <c r="E404" i="4" l="1"/>
  <c r="D404" i="4"/>
  <c r="D405" i="4" l="1"/>
  <c r="E405" i="4"/>
  <c r="E406" i="4" l="1"/>
  <c r="D406" i="4"/>
  <c r="E407" i="4" l="1"/>
  <c r="D407" i="4"/>
  <c r="D408" i="4" l="1"/>
  <c r="E408" i="4"/>
  <c r="E409" i="4" l="1"/>
  <c r="D409" i="4"/>
  <c r="E410" i="4" l="1"/>
  <c r="D410" i="4"/>
  <c r="E411" i="4" l="1"/>
  <c r="D411" i="4"/>
  <c r="E412" i="4" l="1"/>
  <c r="D412" i="4"/>
  <c r="D413" i="4" l="1"/>
  <c r="E413" i="4"/>
  <c r="E414" i="4" l="1"/>
  <c r="D414" i="4"/>
  <c r="E415" i="4" l="1"/>
  <c r="D415" i="4"/>
  <c r="D416" i="4" l="1"/>
  <c r="E416" i="4"/>
  <c r="E417" i="4" l="1"/>
  <c r="D417" i="4"/>
  <c r="E418" i="4" l="1"/>
  <c r="D418" i="4"/>
  <c r="E419" i="4" l="1"/>
  <c r="D419" i="4"/>
  <c r="E420" i="4" l="1"/>
  <c r="D420" i="4"/>
  <c r="D421" i="4" l="1"/>
  <c r="E421" i="4"/>
  <c r="E422" i="4" l="1"/>
  <c r="D422" i="4"/>
  <c r="E423" i="4" l="1"/>
  <c r="D423" i="4"/>
  <c r="D424" i="4" l="1"/>
  <c r="E424" i="4"/>
  <c r="E425" i="4" l="1"/>
  <c r="D425" i="4"/>
  <c r="E426" i="4" l="1"/>
  <c r="D426" i="4"/>
  <c r="E427" i="4" l="1"/>
  <c r="D427" i="4"/>
  <c r="E428" i="4" l="1"/>
  <c r="D428" i="4"/>
  <c r="D429" i="4" l="1"/>
  <c r="E429" i="4"/>
  <c r="E430" i="4" l="1"/>
  <c r="D430" i="4"/>
  <c r="E431" i="4" l="1"/>
  <c r="D431" i="4"/>
  <c r="D432" i="4" l="1"/>
  <c r="E432" i="4"/>
  <c r="E433" i="4" l="1"/>
  <c r="D433" i="4"/>
  <c r="E434" i="4" l="1"/>
  <c r="D434" i="4"/>
  <c r="E435" i="4" l="1"/>
  <c r="D435" i="4"/>
  <c r="E436" i="4" l="1"/>
  <c r="D436" i="4"/>
  <c r="D437" i="4" l="1"/>
  <c r="E437" i="4"/>
  <c r="E438" i="4" l="1"/>
  <c r="D438" i="4"/>
  <c r="E439" i="4" l="1"/>
  <c r="D439" i="4"/>
  <c r="D440" i="4" l="1"/>
  <c r="E440" i="4"/>
  <c r="E441" i="4" l="1"/>
  <c r="D441" i="4"/>
  <c r="E442" i="4" l="1"/>
  <c r="D442" i="4"/>
  <c r="E443" i="4" l="1"/>
  <c r="D443" i="4"/>
  <c r="E444" i="4" l="1"/>
  <c r="D444" i="4"/>
  <c r="D445" i="4" l="1"/>
  <c r="E445" i="4"/>
  <c r="E446" i="4" l="1"/>
  <c r="D446" i="4"/>
  <c r="E447" i="4" l="1"/>
  <c r="D447" i="4"/>
  <c r="D448" i="4" l="1"/>
  <c r="E448" i="4"/>
  <c r="E449" i="4" l="1"/>
  <c r="D449" i="4"/>
  <c r="E450" i="4" l="1"/>
  <c r="D450" i="4"/>
  <c r="E451" i="4" l="1"/>
  <c r="D451" i="4"/>
  <c r="E452" i="4" l="1"/>
  <c r="D452" i="4"/>
  <c r="D453" i="4" l="1"/>
  <c r="E453" i="4"/>
  <c r="E454" i="4" l="1"/>
  <c r="D454" i="4"/>
  <c r="E455" i="4" l="1"/>
  <c r="D455" i="4"/>
  <c r="D456" i="4" l="1"/>
  <c r="E456" i="4"/>
  <c r="E457" i="4" l="1"/>
  <c r="D457" i="4"/>
  <c r="E458" i="4" l="1"/>
  <c r="D458" i="4"/>
  <c r="E459" i="4" l="1"/>
  <c r="D459" i="4"/>
  <c r="E460" i="4" l="1"/>
  <c r="D460" i="4"/>
  <c r="D461" i="4" l="1"/>
  <c r="E461" i="4"/>
  <c r="E462" i="4" l="1"/>
  <c r="D462" i="4"/>
  <c r="E463" i="4" l="1"/>
  <c r="D463" i="4"/>
  <c r="D464" i="4" l="1"/>
  <c r="E464" i="4"/>
  <c r="E465" i="4" l="1"/>
  <c r="D465" i="4"/>
  <c r="E466" i="4" l="1"/>
  <c r="D466" i="4"/>
  <c r="E467" i="4" l="1"/>
  <c r="D467" i="4"/>
  <c r="E468" i="4" l="1"/>
  <c r="D468" i="4"/>
  <c r="D469" i="4" l="1"/>
  <c r="E469" i="4"/>
  <c r="E470" i="4" l="1"/>
  <c r="D470" i="4"/>
  <c r="E471" i="4" l="1"/>
  <c r="D471" i="4"/>
  <c r="D472" i="4" l="1"/>
  <c r="E472" i="4"/>
  <c r="E473" i="4" l="1"/>
  <c r="D473" i="4"/>
  <c r="E474" i="4" l="1"/>
  <c r="D474" i="4"/>
  <c r="E475" i="4" l="1"/>
  <c r="D475" i="4"/>
  <c r="E476" i="4" l="1"/>
  <c r="D476" i="4"/>
  <c r="D477" i="4" l="1"/>
  <c r="E477" i="4"/>
  <c r="E478" i="4" l="1"/>
  <c r="D478" i="4"/>
  <c r="E479" i="4" l="1"/>
  <c r="D479" i="4"/>
  <c r="G16" i="3"/>
  <c r="F16" i="3"/>
  <c r="D16" i="3"/>
  <c r="B16" i="3"/>
  <c r="G15" i="3"/>
  <c r="F15" i="3"/>
  <c r="E15" i="3"/>
  <c r="D15" i="3"/>
  <c r="C15" i="3"/>
  <c r="B15" i="3"/>
  <c r="G14" i="3"/>
  <c r="F14" i="3"/>
  <c r="E14" i="3"/>
  <c r="D14" i="3"/>
  <c r="C14" i="3"/>
  <c r="B14" i="3"/>
  <c r="D5" i="3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2" i="2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F859" i="1" s="1"/>
  <c r="E860" i="1"/>
  <c r="E861" i="1"/>
  <c r="E862" i="1"/>
  <c r="E863" i="1"/>
  <c r="E864" i="1"/>
  <c r="E865" i="1"/>
  <c r="E866" i="1"/>
  <c r="E867" i="1"/>
  <c r="F867" i="1" s="1"/>
  <c r="E868" i="1"/>
  <c r="E869" i="1"/>
  <c r="E870" i="1"/>
  <c r="E871" i="1"/>
  <c r="F871" i="1" s="1"/>
  <c r="E872" i="1"/>
  <c r="E873" i="1"/>
  <c r="E874" i="1"/>
  <c r="E875" i="1"/>
  <c r="F875" i="1" s="1"/>
  <c r="E876" i="1"/>
  <c r="E877" i="1"/>
  <c r="E878" i="1"/>
  <c r="E879" i="1"/>
  <c r="F879" i="1" s="1"/>
  <c r="E880" i="1"/>
  <c r="E881" i="1"/>
  <c r="E882" i="1"/>
  <c r="E883" i="1"/>
  <c r="F883" i="1" s="1"/>
  <c r="E884" i="1"/>
  <c r="E885" i="1"/>
  <c r="E886" i="1"/>
  <c r="E887" i="1"/>
  <c r="F887" i="1" s="1"/>
  <c r="E888" i="1"/>
  <c r="E889" i="1"/>
  <c r="E890" i="1"/>
  <c r="E891" i="1"/>
  <c r="F891" i="1" s="1"/>
  <c r="E892" i="1"/>
  <c r="E893" i="1"/>
  <c r="E894" i="1"/>
  <c r="E895" i="1"/>
  <c r="F895" i="1" s="1"/>
  <c r="E896" i="1"/>
  <c r="E897" i="1"/>
  <c r="E898" i="1"/>
  <c r="E899" i="1"/>
  <c r="F899" i="1" s="1"/>
  <c r="E900" i="1"/>
  <c r="E901" i="1"/>
  <c r="E902" i="1"/>
  <c r="E903" i="1"/>
  <c r="F903" i="1" s="1"/>
  <c r="E904" i="1"/>
  <c r="E905" i="1"/>
  <c r="E906" i="1"/>
  <c r="E907" i="1"/>
  <c r="F907" i="1" s="1"/>
  <c r="E908" i="1"/>
  <c r="E909" i="1"/>
  <c r="E910" i="1"/>
  <c r="E911" i="1"/>
  <c r="F911" i="1" s="1"/>
  <c r="E912" i="1"/>
  <c r="E913" i="1"/>
  <c r="E914" i="1"/>
  <c r="E915" i="1"/>
  <c r="F915" i="1" s="1"/>
  <c r="E916" i="1"/>
  <c r="E917" i="1"/>
  <c r="E918" i="1"/>
  <c r="E919" i="1"/>
  <c r="F919" i="1" s="1"/>
  <c r="E920" i="1"/>
  <c r="E921" i="1"/>
  <c r="E922" i="1"/>
  <c r="E923" i="1"/>
  <c r="F923" i="1" s="1"/>
  <c r="E924" i="1"/>
  <c r="E925" i="1"/>
  <c r="E926" i="1"/>
  <c r="E927" i="1"/>
  <c r="F927" i="1" s="1"/>
  <c r="E928" i="1"/>
  <c r="E929" i="1"/>
  <c r="E930" i="1"/>
  <c r="E931" i="1"/>
  <c r="F931" i="1" s="1"/>
  <c r="E932" i="1"/>
  <c r="E933" i="1"/>
  <c r="E934" i="1"/>
  <c r="E935" i="1"/>
  <c r="F935" i="1" s="1"/>
  <c r="E936" i="1"/>
  <c r="E937" i="1"/>
  <c r="E938" i="1"/>
  <c r="E939" i="1"/>
  <c r="F939" i="1" s="1"/>
  <c r="E940" i="1"/>
  <c r="E941" i="1"/>
  <c r="E942" i="1"/>
  <c r="E943" i="1"/>
  <c r="F943" i="1" s="1"/>
  <c r="E944" i="1"/>
  <c r="E945" i="1"/>
  <c r="E946" i="1"/>
  <c r="E947" i="1"/>
  <c r="F947" i="1" s="1"/>
  <c r="E948" i="1"/>
  <c r="E949" i="1"/>
  <c r="E950" i="1"/>
  <c r="E951" i="1"/>
  <c r="F951" i="1" s="1"/>
  <c r="E952" i="1"/>
  <c r="E953" i="1"/>
  <c r="E954" i="1"/>
  <c r="E955" i="1"/>
  <c r="F955" i="1" s="1"/>
  <c r="E956" i="1"/>
  <c r="E957" i="1"/>
  <c r="E958" i="1"/>
  <c r="E959" i="1"/>
  <c r="F959" i="1" s="1"/>
  <c r="E960" i="1"/>
  <c r="E961" i="1"/>
  <c r="E962" i="1"/>
  <c r="E963" i="1"/>
  <c r="F963" i="1" s="1"/>
  <c r="E964" i="1"/>
  <c r="E965" i="1"/>
  <c r="E966" i="1"/>
  <c r="E967" i="1"/>
  <c r="F967" i="1" s="1"/>
  <c r="E968" i="1"/>
  <c r="E969" i="1"/>
  <c r="E970" i="1"/>
  <c r="E971" i="1"/>
  <c r="F971" i="1" s="1"/>
  <c r="E972" i="1"/>
  <c r="E973" i="1"/>
  <c r="E974" i="1"/>
  <c r="E975" i="1"/>
  <c r="F975" i="1" s="1"/>
  <c r="E976" i="1"/>
  <c r="E977" i="1"/>
  <c r="E978" i="1"/>
  <c r="E979" i="1"/>
  <c r="F979" i="1" s="1"/>
  <c r="E980" i="1"/>
  <c r="E981" i="1"/>
  <c r="E982" i="1"/>
  <c r="E983" i="1"/>
  <c r="F983" i="1" s="1"/>
  <c r="E984" i="1"/>
  <c r="E985" i="1"/>
  <c r="E986" i="1"/>
  <c r="E987" i="1"/>
  <c r="F987" i="1" s="1"/>
  <c r="E988" i="1"/>
  <c r="E989" i="1"/>
  <c r="E990" i="1"/>
  <c r="E991" i="1"/>
  <c r="F991" i="1" s="1"/>
  <c r="E992" i="1"/>
  <c r="E993" i="1"/>
  <c r="E994" i="1"/>
  <c r="E995" i="1"/>
  <c r="F995" i="1" s="1"/>
  <c r="E996" i="1"/>
  <c r="E997" i="1"/>
  <c r="E998" i="1"/>
  <c r="E999" i="1"/>
  <c r="F999" i="1" s="1"/>
  <c r="E1000" i="1"/>
  <c r="E1001" i="1"/>
  <c r="E2" i="1"/>
  <c r="F2" i="1" s="1"/>
  <c r="M3" i="1"/>
  <c r="N3" i="1" s="1"/>
  <c r="C521" i="1" s="1"/>
  <c r="D521" i="1" s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C231" i="1"/>
  <c r="D231" i="1" s="1"/>
  <c r="C417" i="1"/>
  <c r="D417" i="1" s="1"/>
  <c r="C508" i="1"/>
  <c r="D508" i="1" s="1"/>
  <c r="M2" i="1"/>
  <c r="D480" i="4" l="1"/>
  <c r="E480" i="4"/>
  <c r="E994" i="2"/>
  <c r="F994" i="2" s="1"/>
  <c r="E986" i="2"/>
  <c r="F986" i="2" s="1"/>
  <c r="E978" i="2"/>
  <c r="F978" i="2" s="1"/>
  <c r="E970" i="2"/>
  <c r="F970" i="2" s="1"/>
  <c r="E962" i="2"/>
  <c r="F962" i="2" s="1"/>
  <c r="E954" i="2"/>
  <c r="F954" i="2" s="1"/>
  <c r="E946" i="2"/>
  <c r="F946" i="2" s="1"/>
  <c r="E930" i="2"/>
  <c r="F930" i="2" s="1"/>
  <c r="E922" i="2"/>
  <c r="F922" i="2"/>
  <c r="E914" i="2"/>
  <c r="F914" i="2" s="1"/>
  <c r="E906" i="2"/>
  <c r="F906" i="2"/>
  <c r="E898" i="2"/>
  <c r="F898" i="2" s="1"/>
  <c r="E890" i="2"/>
  <c r="F890" i="2"/>
  <c r="E882" i="2"/>
  <c r="F882" i="2" s="1"/>
  <c r="E866" i="2"/>
  <c r="F866" i="2" s="1"/>
  <c r="E858" i="2"/>
  <c r="F858" i="2" s="1"/>
  <c r="E850" i="2"/>
  <c r="F850" i="2" s="1"/>
  <c r="E842" i="2"/>
  <c r="F842" i="2" s="1"/>
  <c r="E834" i="2"/>
  <c r="F834" i="2" s="1"/>
  <c r="E826" i="2"/>
  <c r="F826" i="2" s="1"/>
  <c r="E818" i="2"/>
  <c r="F818" i="2" s="1"/>
  <c r="E802" i="2"/>
  <c r="F802" i="2"/>
  <c r="E794" i="2"/>
  <c r="F794" i="2" s="1"/>
  <c r="E786" i="2"/>
  <c r="F786" i="2"/>
  <c r="E778" i="2"/>
  <c r="F778" i="2"/>
  <c r="E770" i="2"/>
  <c r="F770" i="2"/>
  <c r="E762" i="2"/>
  <c r="F762" i="2"/>
  <c r="E754" i="2"/>
  <c r="F754" i="2"/>
  <c r="E562" i="2"/>
  <c r="F562" i="2" s="1"/>
  <c r="E498" i="2"/>
  <c r="F498" i="2" s="1"/>
  <c r="E466" i="2"/>
  <c r="F466" i="2" s="1"/>
  <c r="E434" i="2"/>
  <c r="F434" i="2"/>
  <c r="F657" i="2"/>
  <c r="E297" i="2"/>
  <c r="F297" i="2"/>
  <c r="E656" i="2"/>
  <c r="F656" i="2" s="1"/>
  <c r="F927" i="2"/>
  <c r="F863" i="2"/>
  <c r="F831" i="2"/>
  <c r="F799" i="2"/>
  <c r="F559" i="2"/>
  <c r="F725" i="2"/>
  <c r="E709" i="2"/>
  <c r="F709" i="2" s="1"/>
  <c r="E645" i="2"/>
  <c r="F645" i="2"/>
  <c r="E621" i="2"/>
  <c r="F621" i="2"/>
  <c r="E589" i="2"/>
  <c r="F589" i="2" s="1"/>
  <c r="E828" i="2"/>
  <c r="F828" i="2" s="1"/>
  <c r="F812" i="2"/>
  <c r="F748" i="2"/>
  <c r="E612" i="2"/>
  <c r="F612" i="2"/>
  <c r="E604" i="2"/>
  <c r="F604" i="2"/>
  <c r="E596" i="2"/>
  <c r="F596" i="2"/>
  <c r="E588" i="2"/>
  <c r="F588" i="2"/>
  <c r="F891" i="2"/>
  <c r="E699" i="2"/>
  <c r="F699" i="2" s="1"/>
  <c r="F675" i="2"/>
  <c r="E635" i="2"/>
  <c r="F635" i="2"/>
  <c r="E470" i="2"/>
  <c r="F470" i="2" s="1"/>
  <c r="E342" i="2"/>
  <c r="F342" i="2"/>
  <c r="E381" i="2"/>
  <c r="F381" i="2"/>
  <c r="E349" i="2"/>
  <c r="F349" i="2"/>
  <c r="E285" i="2"/>
  <c r="F285" i="2" s="1"/>
  <c r="E236" i="2"/>
  <c r="F236" i="2"/>
  <c r="E212" i="2"/>
  <c r="F212" i="2" s="1"/>
  <c r="E172" i="2"/>
  <c r="F172" i="2" s="1"/>
  <c r="E156" i="2"/>
  <c r="F156" i="2" s="1"/>
  <c r="F475" i="2"/>
  <c r="E371" i="2"/>
  <c r="F371" i="2" s="1"/>
  <c r="E339" i="2"/>
  <c r="F339" i="2" s="1"/>
  <c r="E275" i="2"/>
  <c r="F275" i="2" s="1"/>
  <c r="E115" i="2"/>
  <c r="F115" i="2"/>
  <c r="E51" i="2"/>
  <c r="F51" i="2" s="1"/>
  <c r="F226" i="2"/>
  <c r="F162" i="2"/>
  <c r="F98" i="2"/>
  <c r="F34" i="2"/>
  <c r="F26" i="2"/>
  <c r="F201" i="2"/>
  <c r="F121" i="2"/>
  <c r="F512" i="2"/>
  <c r="F360" i="2"/>
  <c r="F296" i="2"/>
  <c r="E200" i="2"/>
  <c r="F200" i="2" s="1"/>
  <c r="F152" i="2"/>
  <c r="F96" i="2"/>
  <c r="F80" i="2"/>
  <c r="F24" i="2"/>
  <c r="F503" i="2"/>
  <c r="E431" i="2"/>
  <c r="F431" i="2" s="1"/>
  <c r="F383" i="2"/>
  <c r="F375" i="2"/>
  <c r="F367" i="2"/>
  <c r="F319" i="2"/>
  <c r="F311" i="2"/>
  <c r="F303" i="2"/>
  <c r="F255" i="2"/>
  <c r="F247" i="2"/>
  <c r="F239" i="2"/>
  <c r="F191" i="2"/>
  <c r="F183" i="2"/>
  <c r="F175" i="2"/>
  <c r="F127" i="2"/>
  <c r="F119" i="2"/>
  <c r="F111" i="2"/>
  <c r="F63" i="2"/>
  <c r="F55" i="2"/>
  <c r="E28" i="2"/>
  <c r="F28" i="2"/>
  <c r="F261" i="1"/>
  <c r="G261" i="1"/>
  <c r="F245" i="1"/>
  <c r="G245" i="1" s="1"/>
  <c r="F237" i="1"/>
  <c r="G237" i="1" s="1"/>
  <c r="F229" i="1"/>
  <c r="G229" i="1"/>
  <c r="F221" i="1"/>
  <c r="G221" i="1" s="1"/>
  <c r="F213" i="1"/>
  <c r="G213" i="1"/>
  <c r="F205" i="1"/>
  <c r="G205" i="1" s="1"/>
  <c r="F197" i="1"/>
  <c r="G197" i="1"/>
  <c r="F189" i="1"/>
  <c r="G189" i="1" s="1"/>
  <c r="F181" i="1"/>
  <c r="G181" i="1"/>
  <c r="F173" i="1"/>
  <c r="G173" i="1" s="1"/>
  <c r="F165" i="1"/>
  <c r="G165" i="1"/>
  <c r="F157" i="1"/>
  <c r="G157" i="1" s="1"/>
  <c r="F149" i="1"/>
  <c r="G149" i="1"/>
  <c r="F141" i="1"/>
  <c r="G141" i="1"/>
  <c r="F133" i="1"/>
  <c r="G133" i="1"/>
  <c r="F125" i="1"/>
  <c r="G125" i="1" s="1"/>
  <c r="F117" i="1"/>
  <c r="G117" i="1"/>
  <c r="F109" i="1"/>
  <c r="G109" i="1"/>
  <c r="F101" i="1"/>
  <c r="G101" i="1"/>
  <c r="F93" i="1"/>
  <c r="G93" i="1" s="1"/>
  <c r="F85" i="1"/>
  <c r="G85" i="1"/>
  <c r="F77" i="1"/>
  <c r="G77" i="1"/>
  <c r="F69" i="1"/>
  <c r="G69" i="1"/>
  <c r="F61" i="1"/>
  <c r="G61" i="1" s="1"/>
  <c r="F53" i="1"/>
  <c r="G53" i="1"/>
  <c r="F45" i="1"/>
  <c r="G45" i="1"/>
  <c r="F37" i="1"/>
  <c r="G37" i="1"/>
  <c r="F29" i="1"/>
  <c r="G29" i="1" s="1"/>
  <c r="F21" i="1"/>
  <c r="G21" i="1"/>
  <c r="F13" i="1"/>
  <c r="G13" i="1"/>
  <c r="F5" i="1"/>
  <c r="G5" i="1"/>
  <c r="F308" i="1"/>
  <c r="G308" i="1"/>
  <c r="F292" i="1"/>
  <c r="G292" i="1" s="1"/>
  <c r="F276" i="1"/>
  <c r="G276" i="1" s="1"/>
  <c r="F260" i="1"/>
  <c r="G260" i="1"/>
  <c r="F244" i="1"/>
  <c r="G244" i="1"/>
  <c r="F228" i="1"/>
  <c r="G228" i="1"/>
  <c r="F212" i="1"/>
  <c r="G212" i="1"/>
  <c r="F196" i="1"/>
  <c r="G196" i="1" s="1"/>
  <c r="F180" i="1"/>
  <c r="G180" i="1" s="1"/>
  <c r="F164" i="1"/>
  <c r="G164" i="1" s="1"/>
  <c r="F148" i="1"/>
  <c r="G148" i="1" s="1"/>
  <c r="F116" i="1"/>
  <c r="G116" i="1" s="1"/>
  <c r="F100" i="1"/>
  <c r="G100" i="1" s="1"/>
  <c r="F84" i="1"/>
  <c r="G84" i="1"/>
  <c r="F68" i="1"/>
  <c r="G68" i="1"/>
  <c r="F52" i="1"/>
  <c r="G52" i="1"/>
  <c r="F36" i="1"/>
  <c r="G36" i="1" s="1"/>
  <c r="F20" i="1"/>
  <c r="G20" i="1" s="1"/>
  <c r="F4" i="1"/>
  <c r="G4" i="1" s="1"/>
  <c r="F675" i="1"/>
  <c r="G675" i="1" s="1"/>
  <c r="F667" i="1"/>
  <c r="G667" i="1" s="1"/>
  <c r="F659" i="1"/>
  <c r="G659" i="1"/>
  <c r="F651" i="1"/>
  <c r="G651" i="1"/>
  <c r="F643" i="1"/>
  <c r="G643" i="1" s="1"/>
  <c r="F635" i="1"/>
  <c r="G635" i="1"/>
  <c r="F627" i="1"/>
  <c r="G627" i="1"/>
  <c r="F619" i="1"/>
  <c r="G619" i="1"/>
  <c r="F611" i="1"/>
  <c r="G611" i="1" s="1"/>
  <c r="F603" i="1"/>
  <c r="G603" i="1"/>
  <c r="F595" i="1"/>
  <c r="G595" i="1"/>
  <c r="F587" i="1"/>
  <c r="G587" i="1"/>
  <c r="F579" i="1"/>
  <c r="G579" i="1" s="1"/>
  <c r="F571" i="1"/>
  <c r="G571" i="1"/>
  <c r="F563" i="1"/>
  <c r="G563" i="1"/>
  <c r="F555" i="1"/>
  <c r="G555" i="1"/>
  <c r="F547" i="1"/>
  <c r="G547" i="1" s="1"/>
  <c r="F539" i="1"/>
  <c r="G539" i="1"/>
  <c r="F531" i="1"/>
  <c r="G531" i="1"/>
  <c r="F523" i="1"/>
  <c r="G523" i="1"/>
  <c r="F515" i="1"/>
  <c r="G515" i="1" s="1"/>
  <c r="F507" i="1"/>
  <c r="G507" i="1"/>
  <c r="F499" i="1"/>
  <c r="G499" i="1"/>
  <c r="F491" i="1"/>
  <c r="G491" i="1"/>
  <c r="F483" i="1"/>
  <c r="G483" i="1" s="1"/>
  <c r="F475" i="1"/>
  <c r="G475" i="1"/>
  <c r="F467" i="1"/>
  <c r="G467" i="1"/>
  <c r="F459" i="1"/>
  <c r="G459" i="1"/>
  <c r="F451" i="1"/>
  <c r="G451" i="1" s="1"/>
  <c r="F443" i="1"/>
  <c r="G443" i="1"/>
  <c r="F435" i="1"/>
  <c r="G435" i="1"/>
  <c r="F427" i="1"/>
  <c r="G427" i="1"/>
  <c r="F419" i="1"/>
  <c r="G419" i="1" s="1"/>
  <c r="F411" i="1"/>
  <c r="G411" i="1"/>
  <c r="F403" i="1"/>
  <c r="G403" i="1"/>
  <c r="F395" i="1"/>
  <c r="G395" i="1"/>
  <c r="F387" i="1"/>
  <c r="G387" i="1" s="1"/>
  <c r="F379" i="1"/>
  <c r="G379" i="1"/>
  <c r="F371" i="1"/>
  <c r="G371" i="1"/>
  <c r="F363" i="1"/>
  <c r="G363" i="1"/>
  <c r="F355" i="1"/>
  <c r="G355" i="1" s="1"/>
  <c r="F347" i="1"/>
  <c r="G347" i="1"/>
  <c r="F339" i="1"/>
  <c r="G339" i="1"/>
  <c r="F331" i="1"/>
  <c r="G331" i="1"/>
  <c r="F323" i="1"/>
  <c r="G323" i="1" s="1"/>
  <c r="F315" i="1"/>
  <c r="G315" i="1"/>
  <c r="F307" i="1"/>
  <c r="G307" i="1"/>
  <c r="F299" i="1"/>
  <c r="G299" i="1"/>
  <c r="F291" i="1"/>
  <c r="G291" i="1" s="1"/>
  <c r="F283" i="1"/>
  <c r="G283" i="1"/>
  <c r="F275" i="1"/>
  <c r="G275" i="1"/>
  <c r="F267" i="1"/>
  <c r="G267" i="1"/>
  <c r="F259" i="1"/>
  <c r="G259" i="1" s="1"/>
  <c r="F251" i="1"/>
  <c r="G251" i="1"/>
  <c r="F243" i="1"/>
  <c r="G243" i="1"/>
  <c r="F235" i="1"/>
  <c r="G235" i="1"/>
  <c r="F227" i="1"/>
  <c r="G227" i="1" s="1"/>
  <c r="F219" i="1"/>
  <c r="G219" i="1"/>
  <c r="F211" i="1"/>
  <c r="G211" i="1"/>
  <c r="F203" i="1"/>
  <c r="G203" i="1"/>
  <c r="F195" i="1"/>
  <c r="G195" i="1" s="1"/>
  <c r="F187" i="1"/>
  <c r="G187" i="1"/>
  <c r="F179" i="1"/>
  <c r="G179" i="1"/>
  <c r="F171" i="1"/>
  <c r="G171" i="1"/>
  <c r="F163" i="1"/>
  <c r="G163" i="1" s="1"/>
  <c r="F155" i="1"/>
  <c r="G155" i="1"/>
  <c r="F147" i="1"/>
  <c r="G147" i="1"/>
  <c r="F139" i="1"/>
  <c r="G139" i="1"/>
  <c r="F131" i="1"/>
  <c r="G131" i="1" s="1"/>
  <c r="F123" i="1"/>
  <c r="G123" i="1"/>
  <c r="F115" i="1"/>
  <c r="G115" i="1"/>
  <c r="F107" i="1"/>
  <c r="G107" i="1"/>
  <c r="F99" i="1"/>
  <c r="G99" i="1" s="1"/>
  <c r="F91" i="1"/>
  <c r="G91" i="1"/>
  <c r="F83" i="1"/>
  <c r="G83" i="1"/>
  <c r="F75" i="1"/>
  <c r="G75" i="1"/>
  <c r="F67" i="1"/>
  <c r="G67" i="1" s="1"/>
  <c r="F59" i="1"/>
  <c r="G59" i="1"/>
  <c r="F51" i="1"/>
  <c r="G51" i="1"/>
  <c r="F43" i="1"/>
  <c r="G43" i="1"/>
  <c r="F35" i="1"/>
  <c r="G35" i="1" s="1"/>
  <c r="F27" i="1"/>
  <c r="G27" i="1"/>
  <c r="F19" i="1"/>
  <c r="G19" i="1"/>
  <c r="F11" i="1"/>
  <c r="G11" i="1"/>
  <c r="F3" i="1"/>
  <c r="G3" i="1" s="1"/>
  <c r="G999" i="1"/>
  <c r="G991" i="1"/>
  <c r="G983" i="1"/>
  <c r="G975" i="1"/>
  <c r="G967" i="1"/>
  <c r="G959" i="1"/>
  <c r="G951" i="1"/>
  <c r="G943" i="1"/>
  <c r="G935" i="1"/>
  <c r="G927" i="1"/>
  <c r="G919" i="1"/>
  <c r="G911" i="1"/>
  <c r="G903" i="1"/>
  <c r="G895" i="1"/>
  <c r="G887" i="1"/>
  <c r="G879" i="1"/>
  <c r="G871" i="1"/>
  <c r="G674" i="1"/>
  <c r="G610" i="1"/>
  <c r="G546" i="1"/>
  <c r="G482" i="1"/>
  <c r="G418" i="1"/>
  <c r="G633" i="1"/>
  <c r="G569" i="1"/>
  <c r="G505" i="1"/>
  <c r="G441" i="1"/>
  <c r="G377" i="1"/>
  <c r="G313" i="1"/>
  <c r="F281" i="1"/>
  <c r="G281" i="1" s="1"/>
  <c r="F265" i="1"/>
  <c r="G265" i="1"/>
  <c r="F249" i="1"/>
  <c r="G249" i="1"/>
  <c r="F233" i="1"/>
  <c r="G233" i="1"/>
  <c r="F217" i="1"/>
  <c r="G217" i="1"/>
  <c r="F185" i="1"/>
  <c r="G185" i="1"/>
  <c r="F169" i="1"/>
  <c r="G169" i="1"/>
  <c r="F153" i="1"/>
  <c r="G153" i="1" s="1"/>
  <c r="F137" i="1"/>
  <c r="G137" i="1" s="1"/>
  <c r="F121" i="1"/>
  <c r="G121" i="1" s="1"/>
  <c r="F105" i="1"/>
  <c r="G105" i="1" s="1"/>
  <c r="F89" i="1"/>
  <c r="G89" i="1"/>
  <c r="F73" i="1"/>
  <c r="G73" i="1"/>
  <c r="F57" i="1"/>
  <c r="G57" i="1"/>
  <c r="F41" i="1"/>
  <c r="G41" i="1"/>
  <c r="F25" i="1"/>
  <c r="G25" i="1" s="1"/>
  <c r="F9" i="1"/>
  <c r="G9" i="1" s="1"/>
  <c r="G657" i="1"/>
  <c r="F280" i="1"/>
  <c r="G280" i="1" s="1"/>
  <c r="F272" i="1"/>
  <c r="G272" i="1"/>
  <c r="F264" i="1"/>
  <c r="G264" i="1"/>
  <c r="F256" i="1"/>
  <c r="G256" i="1" s="1"/>
  <c r="F248" i="1"/>
  <c r="G248" i="1" s="1"/>
  <c r="F240" i="1"/>
  <c r="G240" i="1"/>
  <c r="F232" i="1"/>
  <c r="G232" i="1"/>
  <c r="F224" i="1"/>
  <c r="G224" i="1" s="1"/>
  <c r="F216" i="1"/>
  <c r="G216" i="1" s="1"/>
  <c r="F208" i="1"/>
  <c r="G208" i="1"/>
  <c r="F200" i="1"/>
  <c r="G200" i="1"/>
  <c r="F192" i="1"/>
  <c r="G192" i="1" s="1"/>
  <c r="F184" i="1"/>
  <c r="G184" i="1" s="1"/>
  <c r="F176" i="1"/>
  <c r="G176" i="1"/>
  <c r="F168" i="1"/>
  <c r="G168" i="1"/>
  <c r="F160" i="1"/>
  <c r="G160" i="1" s="1"/>
  <c r="F152" i="1"/>
  <c r="G152" i="1" s="1"/>
  <c r="F144" i="1"/>
  <c r="G144" i="1"/>
  <c r="F136" i="1"/>
  <c r="G136" i="1"/>
  <c r="F128" i="1"/>
  <c r="G128" i="1" s="1"/>
  <c r="F120" i="1"/>
  <c r="G120" i="1" s="1"/>
  <c r="F112" i="1"/>
  <c r="G112" i="1"/>
  <c r="F104" i="1"/>
  <c r="G104" i="1"/>
  <c r="F96" i="1"/>
  <c r="G96" i="1" s="1"/>
  <c r="F88" i="1"/>
  <c r="G88" i="1" s="1"/>
  <c r="F80" i="1"/>
  <c r="G80" i="1"/>
  <c r="F72" i="1"/>
  <c r="G72" i="1"/>
  <c r="F64" i="1"/>
  <c r="G64" i="1" s="1"/>
  <c r="F56" i="1"/>
  <c r="G56" i="1"/>
  <c r="F48" i="1"/>
  <c r="G48" i="1"/>
  <c r="F40" i="1"/>
  <c r="G40" i="1"/>
  <c r="F32" i="1"/>
  <c r="G32" i="1" s="1"/>
  <c r="F24" i="1"/>
  <c r="G24" i="1"/>
  <c r="F16" i="1"/>
  <c r="G16" i="1"/>
  <c r="F8" i="1"/>
  <c r="G8" i="1"/>
  <c r="G681" i="1"/>
  <c r="F671" i="1"/>
  <c r="G671" i="1"/>
  <c r="F655" i="1"/>
  <c r="G655" i="1" s="1"/>
  <c r="F639" i="1"/>
  <c r="G639" i="1" s="1"/>
  <c r="F623" i="1"/>
  <c r="G623" i="1" s="1"/>
  <c r="F607" i="1"/>
  <c r="G607" i="1"/>
  <c r="F591" i="1"/>
  <c r="G591" i="1"/>
  <c r="F575" i="1"/>
  <c r="G575" i="1"/>
  <c r="F559" i="1"/>
  <c r="G559" i="1" s="1"/>
  <c r="F543" i="1"/>
  <c r="G543" i="1"/>
  <c r="F527" i="1"/>
  <c r="G527" i="1" s="1"/>
  <c r="F511" i="1"/>
  <c r="G511" i="1" s="1"/>
  <c r="F495" i="1"/>
  <c r="G495" i="1" s="1"/>
  <c r="F479" i="1"/>
  <c r="G479" i="1"/>
  <c r="G471" i="1"/>
  <c r="F463" i="1"/>
  <c r="G463" i="1"/>
  <c r="F447" i="1"/>
  <c r="G447" i="1"/>
  <c r="F431" i="1"/>
  <c r="G431" i="1"/>
  <c r="F415" i="1"/>
  <c r="G415" i="1"/>
  <c r="F399" i="1"/>
  <c r="G399" i="1" s="1"/>
  <c r="G391" i="1"/>
  <c r="F383" i="1"/>
  <c r="G383" i="1" s="1"/>
  <c r="F367" i="1"/>
  <c r="G367" i="1" s="1"/>
  <c r="F351" i="1"/>
  <c r="G351" i="1"/>
  <c r="G343" i="1"/>
  <c r="F335" i="1"/>
  <c r="G335" i="1"/>
  <c r="F319" i="1"/>
  <c r="G319" i="1"/>
  <c r="F303" i="1"/>
  <c r="G303" i="1"/>
  <c r="F287" i="1"/>
  <c r="G287" i="1"/>
  <c r="F271" i="1"/>
  <c r="G271" i="1" s="1"/>
  <c r="G263" i="1"/>
  <c r="F255" i="1"/>
  <c r="G255" i="1" s="1"/>
  <c r="F239" i="1"/>
  <c r="G239" i="1" s="1"/>
  <c r="F223" i="1"/>
  <c r="G223" i="1"/>
  <c r="G215" i="1"/>
  <c r="F207" i="1"/>
  <c r="G207" i="1"/>
  <c r="F191" i="1"/>
  <c r="G191" i="1"/>
  <c r="F175" i="1"/>
  <c r="G175" i="1"/>
  <c r="F159" i="1"/>
  <c r="G159" i="1"/>
  <c r="F143" i="1"/>
  <c r="G143" i="1" s="1"/>
  <c r="G135" i="1"/>
  <c r="F127" i="1"/>
  <c r="G127" i="1" s="1"/>
  <c r="F111" i="1"/>
  <c r="G111" i="1" s="1"/>
  <c r="F95" i="1"/>
  <c r="G95" i="1"/>
  <c r="G87" i="1"/>
  <c r="F79" i="1"/>
  <c r="G79" i="1"/>
  <c r="F63" i="1"/>
  <c r="G63" i="1"/>
  <c r="F47" i="1"/>
  <c r="G47" i="1" s="1"/>
  <c r="F31" i="1"/>
  <c r="G31" i="1"/>
  <c r="F15" i="1"/>
  <c r="G15" i="1" s="1"/>
  <c r="G7" i="1"/>
  <c r="G995" i="1"/>
  <c r="G987" i="1"/>
  <c r="G979" i="1"/>
  <c r="G971" i="1"/>
  <c r="G963" i="1"/>
  <c r="G955" i="1"/>
  <c r="G947" i="1"/>
  <c r="G939" i="1"/>
  <c r="G931" i="1"/>
  <c r="G923" i="1"/>
  <c r="G915" i="1"/>
  <c r="G907" i="1"/>
  <c r="G899" i="1"/>
  <c r="G891" i="1"/>
  <c r="G883" i="1"/>
  <c r="G875" i="1"/>
  <c r="G867" i="1"/>
  <c r="G859" i="1"/>
  <c r="E1001" i="2"/>
  <c r="F1001" i="2" s="1"/>
  <c r="E945" i="2"/>
  <c r="F945" i="2" s="1"/>
  <c r="E881" i="2"/>
  <c r="F881" i="2" s="1"/>
  <c r="E825" i="2"/>
  <c r="F825" i="2" s="1"/>
  <c r="E777" i="2"/>
  <c r="F777" i="2" s="1"/>
  <c r="E729" i="2"/>
  <c r="F729" i="2" s="1"/>
  <c r="E673" i="2"/>
  <c r="F673" i="2" s="1"/>
  <c r="E625" i="2"/>
  <c r="F625" i="2" s="1"/>
  <c r="E1000" i="2"/>
  <c r="F1000" i="2" s="1"/>
  <c r="E992" i="2"/>
  <c r="F992" i="2" s="1"/>
  <c r="E984" i="2"/>
  <c r="F984" i="2" s="1"/>
  <c r="E976" i="2"/>
  <c r="F976" i="2" s="1"/>
  <c r="E968" i="2"/>
  <c r="F968" i="2" s="1"/>
  <c r="E960" i="2"/>
  <c r="F960" i="2" s="1"/>
  <c r="E952" i="2"/>
  <c r="F952" i="2" s="1"/>
  <c r="E944" i="2"/>
  <c r="F944" i="2" s="1"/>
  <c r="E936" i="2"/>
  <c r="F936" i="2" s="1"/>
  <c r="E928" i="2"/>
  <c r="F928" i="2" s="1"/>
  <c r="E920" i="2"/>
  <c r="F920" i="2" s="1"/>
  <c r="E912" i="2"/>
  <c r="F912" i="2" s="1"/>
  <c r="E904" i="2"/>
  <c r="F904" i="2" s="1"/>
  <c r="E896" i="2"/>
  <c r="F896" i="2" s="1"/>
  <c r="E888" i="2"/>
  <c r="F888" i="2" s="1"/>
  <c r="E880" i="2"/>
  <c r="F880" i="2" s="1"/>
  <c r="E872" i="2"/>
  <c r="F872" i="2" s="1"/>
  <c r="E864" i="2"/>
  <c r="F864" i="2" s="1"/>
  <c r="E856" i="2"/>
  <c r="F856" i="2" s="1"/>
  <c r="E848" i="2"/>
  <c r="F848" i="2" s="1"/>
  <c r="E840" i="2"/>
  <c r="F840" i="2" s="1"/>
  <c r="E832" i="2"/>
  <c r="F832" i="2" s="1"/>
  <c r="E824" i="2"/>
  <c r="F824" i="2" s="1"/>
  <c r="E816" i="2"/>
  <c r="F816" i="2" s="1"/>
  <c r="E808" i="2"/>
  <c r="F808" i="2" s="1"/>
  <c r="E800" i="2"/>
  <c r="F800" i="2" s="1"/>
  <c r="E792" i="2"/>
  <c r="F792" i="2" s="1"/>
  <c r="E784" i="2"/>
  <c r="F784" i="2" s="1"/>
  <c r="E776" i="2"/>
  <c r="F776" i="2" s="1"/>
  <c r="E768" i="2"/>
  <c r="F768" i="2" s="1"/>
  <c r="E760" i="2"/>
  <c r="F760" i="2" s="1"/>
  <c r="E752" i="2"/>
  <c r="F752" i="2" s="1"/>
  <c r="E744" i="2"/>
  <c r="F744" i="2" s="1"/>
  <c r="E736" i="2"/>
  <c r="F736" i="2" s="1"/>
  <c r="E720" i="2"/>
  <c r="F720" i="2" s="1"/>
  <c r="E712" i="2"/>
  <c r="F712" i="2" s="1"/>
  <c r="E704" i="2"/>
  <c r="F704" i="2" s="1"/>
  <c r="E696" i="2"/>
  <c r="F696" i="2" s="1"/>
  <c r="E680" i="2"/>
  <c r="F680" i="2" s="1"/>
  <c r="E672" i="2"/>
  <c r="F672" i="2" s="1"/>
  <c r="E664" i="2"/>
  <c r="F664" i="2" s="1"/>
  <c r="E648" i="2"/>
  <c r="F648" i="2" s="1"/>
  <c r="E640" i="2"/>
  <c r="F640" i="2" s="1"/>
  <c r="E632" i="2"/>
  <c r="F632" i="2" s="1"/>
  <c r="E624" i="2"/>
  <c r="F624" i="2" s="1"/>
  <c r="E616" i="2"/>
  <c r="F616" i="2" s="1"/>
  <c r="E608" i="2"/>
  <c r="F608" i="2" s="1"/>
  <c r="E600" i="2"/>
  <c r="F600" i="2" s="1"/>
  <c r="E592" i="2"/>
  <c r="F592" i="2" s="1"/>
  <c r="E584" i="2"/>
  <c r="F584" i="2" s="1"/>
  <c r="E576" i="2"/>
  <c r="F576" i="2" s="1"/>
  <c r="E728" i="2"/>
  <c r="F728" i="2" s="1"/>
  <c r="E985" i="2"/>
  <c r="F985" i="2" s="1"/>
  <c r="E929" i="2"/>
  <c r="F929" i="2" s="1"/>
  <c r="E873" i="2"/>
  <c r="F873" i="2" s="1"/>
  <c r="E817" i="2"/>
  <c r="F817" i="2" s="1"/>
  <c r="E769" i="2"/>
  <c r="F769" i="2" s="1"/>
  <c r="E745" i="2"/>
  <c r="F745" i="2" s="1"/>
  <c r="E705" i="2"/>
  <c r="F705" i="2" s="1"/>
  <c r="E657" i="2"/>
  <c r="E617" i="2"/>
  <c r="F617" i="2" s="1"/>
  <c r="E999" i="2"/>
  <c r="F999" i="2" s="1"/>
  <c r="E991" i="2"/>
  <c r="F991" i="2" s="1"/>
  <c r="E983" i="2"/>
  <c r="F983" i="2" s="1"/>
  <c r="E975" i="2"/>
  <c r="F975" i="2" s="1"/>
  <c r="E967" i="2"/>
  <c r="F967" i="2" s="1"/>
  <c r="E959" i="2"/>
  <c r="F959" i="2" s="1"/>
  <c r="E951" i="2"/>
  <c r="F951" i="2" s="1"/>
  <c r="E943" i="2"/>
  <c r="F943" i="2" s="1"/>
  <c r="E935" i="2"/>
  <c r="F935" i="2" s="1"/>
  <c r="E927" i="2"/>
  <c r="E919" i="2"/>
  <c r="F919" i="2" s="1"/>
  <c r="E911" i="2"/>
  <c r="F911" i="2" s="1"/>
  <c r="E903" i="2"/>
  <c r="F903" i="2" s="1"/>
  <c r="E895" i="2"/>
  <c r="F895" i="2" s="1"/>
  <c r="E887" i="2"/>
  <c r="F887" i="2" s="1"/>
  <c r="E879" i="2"/>
  <c r="F879" i="2" s="1"/>
  <c r="E871" i="2"/>
  <c r="F871" i="2" s="1"/>
  <c r="E863" i="2"/>
  <c r="E855" i="2"/>
  <c r="F855" i="2" s="1"/>
  <c r="E847" i="2"/>
  <c r="F847" i="2" s="1"/>
  <c r="E839" i="2"/>
  <c r="F839" i="2" s="1"/>
  <c r="E831" i="2"/>
  <c r="E823" i="2"/>
  <c r="F823" i="2" s="1"/>
  <c r="E815" i="2"/>
  <c r="F815" i="2" s="1"/>
  <c r="E807" i="2"/>
  <c r="F807" i="2" s="1"/>
  <c r="E799" i="2"/>
  <c r="E791" i="2"/>
  <c r="F791" i="2" s="1"/>
  <c r="E783" i="2"/>
  <c r="F783" i="2" s="1"/>
  <c r="E775" i="2"/>
  <c r="F775" i="2" s="1"/>
  <c r="E767" i="2"/>
  <c r="F767" i="2" s="1"/>
  <c r="E759" i="2"/>
  <c r="F759" i="2" s="1"/>
  <c r="E751" i="2"/>
  <c r="F751" i="2" s="1"/>
  <c r="E743" i="2"/>
  <c r="F743" i="2" s="1"/>
  <c r="E735" i="2"/>
  <c r="F735" i="2" s="1"/>
  <c r="E727" i="2"/>
  <c r="F727" i="2" s="1"/>
  <c r="E711" i="2"/>
  <c r="F711" i="2" s="1"/>
  <c r="E703" i="2"/>
  <c r="F703" i="2" s="1"/>
  <c r="E695" i="2"/>
  <c r="F695" i="2" s="1"/>
  <c r="E687" i="2"/>
  <c r="F687" i="2" s="1"/>
  <c r="E679" i="2"/>
  <c r="F679" i="2" s="1"/>
  <c r="E671" i="2"/>
  <c r="F671" i="2" s="1"/>
  <c r="E663" i="2"/>
  <c r="F663" i="2" s="1"/>
  <c r="E655" i="2"/>
  <c r="F655" i="2" s="1"/>
  <c r="E647" i="2"/>
  <c r="F647" i="2" s="1"/>
  <c r="E639" i="2"/>
  <c r="F639" i="2" s="1"/>
  <c r="E631" i="2"/>
  <c r="F631" i="2" s="1"/>
  <c r="E623" i="2"/>
  <c r="F623" i="2" s="1"/>
  <c r="E615" i="2"/>
  <c r="F615" i="2" s="1"/>
  <c r="E607" i="2"/>
  <c r="F607" i="2" s="1"/>
  <c r="E599" i="2"/>
  <c r="F599" i="2" s="1"/>
  <c r="E591" i="2"/>
  <c r="F591" i="2" s="1"/>
  <c r="E583" i="2"/>
  <c r="F583" i="2" s="1"/>
  <c r="E575" i="2"/>
  <c r="F575" i="2" s="1"/>
  <c r="E567" i="2"/>
  <c r="F567" i="2" s="1"/>
  <c r="E559" i="2"/>
  <c r="E551" i="2"/>
  <c r="F551" i="2" s="1"/>
  <c r="E543" i="2"/>
  <c r="F543" i="2" s="1"/>
  <c r="E535" i="2"/>
  <c r="F535" i="2" s="1"/>
  <c r="E527" i="2"/>
  <c r="F527" i="2" s="1"/>
  <c r="E519" i="2"/>
  <c r="F519" i="2" s="1"/>
  <c r="E511" i="2"/>
  <c r="F511" i="2" s="1"/>
  <c r="E503" i="2"/>
  <c r="E495" i="2"/>
  <c r="F495" i="2" s="1"/>
  <c r="E487" i="2"/>
  <c r="F487" i="2" s="1"/>
  <c r="E479" i="2"/>
  <c r="F479" i="2" s="1"/>
  <c r="E471" i="2"/>
  <c r="F471" i="2" s="1"/>
  <c r="E463" i="2"/>
  <c r="F463" i="2" s="1"/>
  <c r="E455" i="2"/>
  <c r="F455" i="2" s="1"/>
  <c r="E447" i="2"/>
  <c r="F447" i="2" s="1"/>
  <c r="E719" i="2"/>
  <c r="F719" i="2" s="1"/>
  <c r="E961" i="2"/>
  <c r="F961" i="2" s="1"/>
  <c r="E905" i="2"/>
  <c r="F905" i="2" s="1"/>
  <c r="E849" i="2"/>
  <c r="F849" i="2" s="1"/>
  <c r="E809" i="2"/>
  <c r="F809" i="2" s="1"/>
  <c r="E761" i="2"/>
  <c r="F761" i="2" s="1"/>
  <c r="E721" i="2"/>
  <c r="F721" i="2" s="1"/>
  <c r="E689" i="2"/>
  <c r="F689" i="2" s="1"/>
  <c r="E649" i="2"/>
  <c r="F649" i="2" s="1"/>
  <c r="E998" i="2"/>
  <c r="F998" i="2" s="1"/>
  <c r="E990" i="2"/>
  <c r="F990" i="2" s="1"/>
  <c r="E982" i="2"/>
  <c r="F982" i="2" s="1"/>
  <c r="E974" i="2"/>
  <c r="F974" i="2" s="1"/>
  <c r="E966" i="2"/>
  <c r="F966" i="2" s="1"/>
  <c r="E958" i="2"/>
  <c r="F958" i="2" s="1"/>
  <c r="E950" i="2"/>
  <c r="F950" i="2" s="1"/>
  <c r="E942" i="2"/>
  <c r="F942" i="2" s="1"/>
  <c r="E934" i="2"/>
  <c r="F934" i="2" s="1"/>
  <c r="E926" i="2"/>
  <c r="F926" i="2" s="1"/>
  <c r="E918" i="2"/>
  <c r="F918" i="2" s="1"/>
  <c r="E910" i="2"/>
  <c r="F910" i="2" s="1"/>
  <c r="E902" i="2"/>
  <c r="F902" i="2" s="1"/>
  <c r="E894" i="2"/>
  <c r="F894" i="2" s="1"/>
  <c r="E886" i="2"/>
  <c r="F886" i="2" s="1"/>
  <c r="E878" i="2"/>
  <c r="F878" i="2" s="1"/>
  <c r="E870" i="2"/>
  <c r="F870" i="2" s="1"/>
  <c r="E862" i="2"/>
  <c r="F862" i="2" s="1"/>
  <c r="E854" i="2"/>
  <c r="F854" i="2" s="1"/>
  <c r="E846" i="2"/>
  <c r="F846" i="2" s="1"/>
  <c r="E838" i="2"/>
  <c r="F838" i="2" s="1"/>
  <c r="E830" i="2"/>
  <c r="F830" i="2" s="1"/>
  <c r="E822" i="2"/>
  <c r="F822" i="2" s="1"/>
  <c r="E814" i="2"/>
  <c r="F814" i="2" s="1"/>
  <c r="E806" i="2"/>
  <c r="F806" i="2" s="1"/>
  <c r="E798" i="2"/>
  <c r="F798" i="2" s="1"/>
  <c r="E790" i="2"/>
  <c r="F790" i="2" s="1"/>
  <c r="E782" i="2"/>
  <c r="F782" i="2" s="1"/>
  <c r="E774" i="2"/>
  <c r="F774" i="2" s="1"/>
  <c r="E766" i="2"/>
  <c r="F766" i="2" s="1"/>
  <c r="E758" i="2"/>
  <c r="F758" i="2" s="1"/>
  <c r="E750" i="2"/>
  <c r="F750" i="2" s="1"/>
  <c r="E742" i="2"/>
  <c r="F742" i="2" s="1"/>
  <c r="E734" i="2"/>
  <c r="F734" i="2" s="1"/>
  <c r="E726" i="2"/>
  <c r="F726" i="2" s="1"/>
  <c r="E718" i="2"/>
  <c r="F718" i="2" s="1"/>
  <c r="E710" i="2"/>
  <c r="F710" i="2" s="1"/>
  <c r="E702" i="2"/>
  <c r="F702" i="2" s="1"/>
  <c r="E694" i="2"/>
  <c r="F694" i="2" s="1"/>
  <c r="E686" i="2"/>
  <c r="F686" i="2" s="1"/>
  <c r="E678" i="2"/>
  <c r="F678" i="2" s="1"/>
  <c r="E670" i="2"/>
  <c r="F670" i="2" s="1"/>
  <c r="E662" i="2"/>
  <c r="F662" i="2" s="1"/>
  <c r="E654" i="2"/>
  <c r="F654" i="2" s="1"/>
  <c r="E646" i="2"/>
  <c r="F646" i="2" s="1"/>
  <c r="E638" i="2"/>
  <c r="F638" i="2" s="1"/>
  <c r="E993" i="2"/>
  <c r="F993" i="2" s="1"/>
  <c r="E937" i="2"/>
  <c r="F937" i="2" s="1"/>
  <c r="E889" i="2"/>
  <c r="F889" i="2" s="1"/>
  <c r="E841" i="2"/>
  <c r="F841" i="2" s="1"/>
  <c r="E793" i="2"/>
  <c r="F793" i="2" s="1"/>
  <c r="E681" i="2"/>
  <c r="F681" i="2" s="1"/>
  <c r="E633" i="2"/>
  <c r="F633" i="2" s="1"/>
  <c r="E737" i="2"/>
  <c r="F737" i="2" s="1"/>
  <c r="E997" i="2"/>
  <c r="F997" i="2" s="1"/>
  <c r="E989" i="2"/>
  <c r="F989" i="2" s="1"/>
  <c r="E981" i="2"/>
  <c r="F981" i="2" s="1"/>
  <c r="E973" i="2"/>
  <c r="F973" i="2" s="1"/>
  <c r="E965" i="2"/>
  <c r="F965" i="2" s="1"/>
  <c r="E957" i="2"/>
  <c r="F957" i="2" s="1"/>
  <c r="E949" i="2"/>
  <c r="F949" i="2" s="1"/>
  <c r="E941" i="2"/>
  <c r="F941" i="2" s="1"/>
  <c r="E933" i="2"/>
  <c r="F933" i="2" s="1"/>
  <c r="E925" i="2"/>
  <c r="F925" i="2" s="1"/>
  <c r="E917" i="2"/>
  <c r="F917" i="2" s="1"/>
  <c r="E909" i="2"/>
  <c r="F909" i="2" s="1"/>
  <c r="E901" i="2"/>
  <c r="F901" i="2" s="1"/>
  <c r="E893" i="2"/>
  <c r="F893" i="2" s="1"/>
  <c r="E885" i="2"/>
  <c r="F885" i="2" s="1"/>
  <c r="E877" i="2"/>
  <c r="F877" i="2" s="1"/>
  <c r="E869" i="2"/>
  <c r="F869" i="2" s="1"/>
  <c r="E861" i="2"/>
  <c r="F861" i="2" s="1"/>
  <c r="E853" i="2"/>
  <c r="F853" i="2" s="1"/>
  <c r="E845" i="2"/>
  <c r="F845" i="2" s="1"/>
  <c r="E837" i="2"/>
  <c r="F837" i="2" s="1"/>
  <c r="E829" i="2"/>
  <c r="F829" i="2" s="1"/>
  <c r="E821" i="2"/>
  <c r="F821" i="2" s="1"/>
  <c r="E813" i="2"/>
  <c r="F813" i="2" s="1"/>
  <c r="E805" i="2"/>
  <c r="F805" i="2" s="1"/>
  <c r="E797" i="2"/>
  <c r="F797" i="2" s="1"/>
  <c r="E789" i="2"/>
  <c r="F789" i="2" s="1"/>
  <c r="E781" i="2"/>
  <c r="F781" i="2" s="1"/>
  <c r="E773" i="2"/>
  <c r="F773" i="2" s="1"/>
  <c r="E765" i="2"/>
  <c r="F765" i="2" s="1"/>
  <c r="E757" i="2"/>
  <c r="F757" i="2" s="1"/>
  <c r="E749" i="2"/>
  <c r="F749" i="2" s="1"/>
  <c r="E741" i="2"/>
  <c r="F741" i="2" s="1"/>
  <c r="E733" i="2"/>
  <c r="F733" i="2" s="1"/>
  <c r="E725" i="2"/>
  <c r="E717" i="2"/>
  <c r="F717" i="2" s="1"/>
  <c r="E701" i="2"/>
  <c r="F701" i="2" s="1"/>
  <c r="E693" i="2"/>
  <c r="F693" i="2" s="1"/>
  <c r="E685" i="2"/>
  <c r="F685" i="2" s="1"/>
  <c r="E669" i="2"/>
  <c r="F669" i="2" s="1"/>
  <c r="E661" i="2"/>
  <c r="F661" i="2" s="1"/>
  <c r="E653" i="2"/>
  <c r="F653" i="2" s="1"/>
  <c r="E637" i="2"/>
  <c r="F637" i="2" s="1"/>
  <c r="E629" i="2"/>
  <c r="F629" i="2" s="1"/>
  <c r="E613" i="2"/>
  <c r="F613" i="2" s="1"/>
  <c r="E597" i="2"/>
  <c r="F597" i="2" s="1"/>
  <c r="E605" i="2"/>
  <c r="F605" i="2" s="1"/>
  <c r="E969" i="2"/>
  <c r="F969" i="2" s="1"/>
  <c r="E921" i="2"/>
  <c r="F921" i="2" s="1"/>
  <c r="E857" i="2"/>
  <c r="F857" i="2" s="1"/>
  <c r="E785" i="2"/>
  <c r="F785" i="2" s="1"/>
  <c r="E641" i="2"/>
  <c r="F641" i="2" s="1"/>
  <c r="E996" i="2"/>
  <c r="F996" i="2" s="1"/>
  <c r="E988" i="2"/>
  <c r="F988" i="2" s="1"/>
  <c r="E980" i="2"/>
  <c r="F980" i="2" s="1"/>
  <c r="E972" i="2"/>
  <c r="F972" i="2" s="1"/>
  <c r="E964" i="2"/>
  <c r="F964" i="2" s="1"/>
  <c r="E956" i="2"/>
  <c r="F956" i="2" s="1"/>
  <c r="E948" i="2"/>
  <c r="F948" i="2" s="1"/>
  <c r="E940" i="2"/>
  <c r="F940" i="2" s="1"/>
  <c r="E932" i="2"/>
  <c r="F932" i="2" s="1"/>
  <c r="E924" i="2"/>
  <c r="F924" i="2" s="1"/>
  <c r="E916" i="2"/>
  <c r="F916" i="2" s="1"/>
  <c r="E908" i="2"/>
  <c r="F908" i="2" s="1"/>
  <c r="E900" i="2"/>
  <c r="F900" i="2" s="1"/>
  <c r="E892" i="2"/>
  <c r="F892" i="2" s="1"/>
  <c r="E884" i="2"/>
  <c r="F884" i="2" s="1"/>
  <c r="E876" i="2"/>
  <c r="F876" i="2" s="1"/>
  <c r="E868" i="2"/>
  <c r="F868" i="2" s="1"/>
  <c r="E860" i="2"/>
  <c r="F860" i="2" s="1"/>
  <c r="E852" i="2"/>
  <c r="F852" i="2" s="1"/>
  <c r="E844" i="2"/>
  <c r="F844" i="2" s="1"/>
  <c r="E836" i="2"/>
  <c r="F836" i="2" s="1"/>
  <c r="E820" i="2"/>
  <c r="F820" i="2" s="1"/>
  <c r="E812" i="2"/>
  <c r="E804" i="2"/>
  <c r="F804" i="2" s="1"/>
  <c r="E796" i="2"/>
  <c r="F796" i="2" s="1"/>
  <c r="E788" i="2"/>
  <c r="F788" i="2" s="1"/>
  <c r="E780" i="2"/>
  <c r="F780" i="2" s="1"/>
  <c r="E772" i="2"/>
  <c r="F772" i="2" s="1"/>
  <c r="E764" i="2"/>
  <c r="F764" i="2" s="1"/>
  <c r="E756" i="2"/>
  <c r="F756" i="2" s="1"/>
  <c r="E748" i="2"/>
  <c r="E740" i="2"/>
  <c r="F740" i="2" s="1"/>
  <c r="E732" i="2"/>
  <c r="F732" i="2" s="1"/>
  <c r="E724" i="2"/>
  <c r="F724" i="2" s="1"/>
  <c r="E716" i="2"/>
  <c r="F716" i="2" s="1"/>
  <c r="E708" i="2"/>
  <c r="F708" i="2" s="1"/>
  <c r="E700" i="2"/>
  <c r="F700" i="2" s="1"/>
  <c r="E692" i="2"/>
  <c r="F692" i="2" s="1"/>
  <c r="E684" i="2"/>
  <c r="F684" i="2" s="1"/>
  <c r="E676" i="2"/>
  <c r="F676" i="2" s="1"/>
  <c r="E668" i="2"/>
  <c r="F668" i="2" s="1"/>
  <c r="E660" i="2"/>
  <c r="F660" i="2" s="1"/>
  <c r="E652" i="2"/>
  <c r="F652" i="2" s="1"/>
  <c r="E644" i="2"/>
  <c r="F644" i="2" s="1"/>
  <c r="E636" i="2"/>
  <c r="F636" i="2" s="1"/>
  <c r="E628" i="2"/>
  <c r="F628" i="2" s="1"/>
  <c r="E620" i="2"/>
  <c r="F620" i="2" s="1"/>
  <c r="E688" i="2"/>
  <c r="F688" i="2" s="1"/>
  <c r="E977" i="2"/>
  <c r="F977" i="2" s="1"/>
  <c r="E913" i="2"/>
  <c r="F913" i="2" s="1"/>
  <c r="E865" i="2"/>
  <c r="F865" i="2" s="1"/>
  <c r="E801" i="2"/>
  <c r="F801" i="2" s="1"/>
  <c r="E753" i="2"/>
  <c r="F753" i="2" s="1"/>
  <c r="E713" i="2"/>
  <c r="F713" i="2" s="1"/>
  <c r="E665" i="2"/>
  <c r="F665" i="2" s="1"/>
  <c r="E609" i="2"/>
  <c r="F609" i="2" s="1"/>
  <c r="E995" i="2"/>
  <c r="F995" i="2" s="1"/>
  <c r="E987" i="2"/>
  <c r="F987" i="2" s="1"/>
  <c r="E979" i="2"/>
  <c r="F979" i="2" s="1"/>
  <c r="E971" i="2"/>
  <c r="F971" i="2" s="1"/>
  <c r="E963" i="2"/>
  <c r="F963" i="2" s="1"/>
  <c r="E955" i="2"/>
  <c r="F955" i="2" s="1"/>
  <c r="E947" i="2"/>
  <c r="F947" i="2" s="1"/>
  <c r="E939" i="2"/>
  <c r="F939" i="2" s="1"/>
  <c r="E931" i="2"/>
  <c r="F931" i="2" s="1"/>
  <c r="E923" i="2"/>
  <c r="F923" i="2" s="1"/>
  <c r="E915" i="2"/>
  <c r="F915" i="2" s="1"/>
  <c r="E907" i="2"/>
  <c r="F907" i="2" s="1"/>
  <c r="E899" i="2"/>
  <c r="F899" i="2" s="1"/>
  <c r="E891" i="2"/>
  <c r="E883" i="2"/>
  <c r="F883" i="2" s="1"/>
  <c r="E875" i="2"/>
  <c r="F875" i="2" s="1"/>
  <c r="E867" i="2"/>
  <c r="F867" i="2" s="1"/>
  <c r="E859" i="2"/>
  <c r="F859" i="2" s="1"/>
  <c r="E851" i="2"/>
  <c r="F851" i="2" s="1"/>
  <c r="E843" i="2"/>
  <c r="F843" i="2" s="1"/>
  <c r="E835" i="2"/>
  <c r="F835" i="2" s="1"/>
  <c r="E827" i="2"/>
  <c r="F827" i="2" s="1"/>
  <c r="E819" i="2"/>
  <c r="F819" i="2" s="1"/>
  <c r="E811" i="2"/>
  <c r="F811" i="2" s="1"/>
  <c r="E803" i="2"/>
  <c r="F803" i="2" s="1"/>
  <c r="E795" i="2"/>
  <c r="F795" i="2" s="1"/>
  <c r="E787" i="2"/>
  <c r="F787" i="2" s="1"/>
  <c r="E779" i="2"/>
  <c r="F779" i="2" s="1"/>
  <c r="E771" i="2"/>
  <c r="F771" i="2" s="1"/>
  <c r="E763" i="2"/>
  <c r="F763" i="2" s="1"/>
  <c r="E755" i="2"/>
  <c r="F755" i="2" s="1"/>
  <c r="E747" i="2"/>
  <c r="F747" i="2" s="1"/>
  <c r="E739" i="2"/>
  <c r="F739" i="2" s="1"/>
  <c r="E731" i="2"/>
  <c r="F731" i="2" s="1"/>
  <c r="E723" i="2"/>
  <c r="F723" i="2" s="1"/>
  <c r="E715" i="2"/>
  <c r="F715" i="2" s="1"/>
  <c r="E707" i="2"/>
  <c r="F707" i="2" s="1"/>
  <c r="E691" i="2"/>
  <c r="F691" i="2" s="1"/>
  <c r="E683" i="2"/>
  <c r="F683" i="2" s="1"/>
  <c r="E675" i="2"/>
  <c r="E659" i="2"/>
  <c r="F659" i="2" s="1"/>
  <c r="E651" i="2"/>
  <c r="F651" i="2" s="1"/>
  <c r="E643" i="2"/>
  <c r="F643" i="2" s="1"/>
  <c r="E627" i="2"/>
  <c r="F627" i="2" s="1"/>
  <c r="E619" i="2"/>
  <c r="F619" i="2" s="1"/>
  <c r="E611" i="2"/>
  <c r="F611" i="2" s="1"/>
  <c r="E603" i="2"/>
  <c r="F603" i="2" s="1"/>
  <c r="E595" i="2"/>
  <c r="F595" i="2" s="1"/>
  <c r="E587" i="2"/>
  <c r="F587" i="2" s="1"/>
  <c r="E579" i="2"/>
  <c r="F579" i="2" s="1"/>
  <c r="E571" i="2"/>
  <c r="F571" i="2" s="1"/>
  <c r="E563" i="2"/>
  <c r="F563" i="2" s="1"/>
  <c r="E555" i="2"/>
  <c r="F555" i="2" s="1"/>
  <c r="E547" i="2"/>
  <c r="F547" i="2" s="1"/>
  <c r="E539" i="2"/>
  <c r="F539" i="2" s="1"/>
  <c r="E531" i="2"/>
  <c r="F531" i="2" s="1"/>
  <c r="E523" i="2"/>
  <c r="F523" i="2" s="1"/>
  <c r="E515" i="2"/>
  <c r="F515" i="2" s="1"/>
  <c r="E507" i="2"/>
  <c r="F507" i="2" s="1"/>
  <c r="E499" i="2"/>
  <c r="F499" i="2" s="1"/>
  <c r="E491" i="2"/>
  <c r="F491" i="2" s="1"/>
  <c r="E483" i="2"/>
  <c r="F483" i="2" s="1"/>
  <c r="E475" i="2"/>
  <c r="E467" i="2"/>
  <c r="F467" i="2" s="1"/>
  <c r="E459" i="2"/>
  <c r="F459" i="2" s="1"/>
  <c r="E451" i="2"/>
  <c r="F451" i="2" s="1"/>
  <c r="E443" i="2"/>
  <c r="F443" i="2" s="1"/>
  <c r="E435" i="2"/>
  <c r="F435" i="2" s="1"/>
  <c r="E427" i="2"/>
  <c r="F427" i="2" s="1"/>
  <c r="E677" i="2"/>
  <c r="F677" i="2" s="1"/>
  <c r="E953" i="2"/>
  <c r="F953" i="2" s="1"/>
  <c r="E897" i="2"/>
  <c r="F897" i="2" s="1"/>
  <c r="E833" i="2"/>
  <c r="F833" i="2" s="1"/>
  <c r="E697" i="2"/>
  <c r="F697" i="2" s="1"/>
  <c r="E738" i="2"/>
  <c r="F738" i="2" s="1"/>
  <c r="E730" i="2"/>
  <c r="F730" i="2" s="1"/>
  <c r="E722" i="2"/>
  <c r="F722" i="2" s="1"/>
  <c r="E714" i="2"/>
  <c r="F714" i="2" s="1"/>
  <c r="E706" i="2"/>
  <c r="F706" i="2" s="1"/>
  <c r="E698" i="2"/>
  <c r="F698" i="2" s="1"/>
  <c r="E690" i="2"/>
  <c r="F690" i="2" s="1"/>
  <c r="E682" i="2"/>
  <c r="F682" i="2" s="1"/>
  <c r="E674" i="2"/>
  <c r="F674" i="2" s="1"/>
  <c r="E666" i="2"/>
  <c r="F666" i="2" s="1"/>
  <c r="E658" i="2"/>
  <c r="F658" i="2" s="1"/>
  <c r="E650" i="2"/>
  <c r="F650" i="2" s="1"/>
  <c r="E642" i="2"/>
  <c r="F642" i="2" s="1"/>
  <c r="E634" i="2"/>
  <c r="F634" i="2" s="1"/>
  <c r="E626" i="2"/>
  <c r="F626" i="2" s="1"/>
  <c r="E618" i="2"/>
  <c r="F618" i="2" s="1"/>
  <c r="E610" i="2"/>
  <c r="F610" i="2" s="1"/>
  <c r="E602" i="2"/>
  <c r="F602" i="2" s="1"/>
  <c r="E594" i="2"/>
  <c r="F594" i="2" s="1"/>
  <c r="E586" i="2"/>
  <c r="F586" i="2" s="1"/>
  <c r="E578" i="2"/>
  <c r="F578" i="2" s="1"/>
  <c r="E570" i="2"/>
  <c r="F570" i="2" s="1"/>
  <c r="E554" i="2"/>
  <c r="F554" i="2" s="1"/>
  <c r="E546" i="2"/>
  <c r="F546" i="2" s="1"/>
  <c r="E538" i="2"/>
  <c r="F538" i="2" s="1"/>
  <c r="E522" i="2"/>
  <c r="F522" i="2" s="1"/>
  <c r="E514" i="2"/>
  <c r="F514" i="2" s="1"/>
  <c r="E506" i="2"/>
  <c r="F506" i="2" s="1"/>
  <c r="E490" i="2"/>
  <c r="F490" i="2" s="1"/>
  <c r="E482" i="2"/>
  <c r="F482" i="2" s="1"/>
  <c r="E474" i="2"/>
  <c r="F474" i="2" s="1"/>
  <c r="E458" i="2"/>
  <c r="F458" i="2" s="1"/>
  <c r="E450" i="2"/>
  <c r="F450" i="2" s="1"/>
  <c r="E442" i="2"/>
  <c r="F442" i="2" s="1"/>
  <c r="E426" i="2"/>
  <c r="F426" i="2" s="1"/>
  <c r="E418" i="2"/>
  <c r="F418" i="2" s="1"/>
  <c r="E410" i="2"/>
  <c r="F410" i="2" s="1"/>
  <c r="E402" i="2"/>
  <c r="F402" i="2" s="1"/>
  <c r="E394" i="2"/>
  <c r="F394" i="2" s="1"/>
  <c r="E386" i="2"/>
  <c r="F386" i="2" s="1"/>
  <c r="E378" i="2"/>
  <c r="F378" i="2" s="1"/>
  <c r="E370" i="2"/>
  <c r="F370" i="2" s="1"/>
  <c r="E362" i="2"/>
  <c r="F362" i="2" s="1"/>
  <c r="E354" i="2"/>
  <c r="F354" i="2" s="1"/>
  <c r="E346" i="2"/>
  <c r="F346" i="2" s="1"/>
  <c r="E338" i="2"/>
  <c r="F338" i="2" s="1"/>
  <c r="E330" i="2"/>
  <c r="F330" i="2" s="1"/>
  <c r="E322" i="2"/>
  <c r="F322" i="2" s="1"/>
  <c r="E314" i="2"/>
  <c r="F314" i="2" s="1"/>
  <c r="E306" i="2"/>
  <c r="F306" i="2" s="1"/>
  <c r="E298" i="2"/>
  <c r="F298" i="2" s="1"/>
  <c r="E290" i="2"/>
  <c r="F290" i="2" s="1"/>
  <c r="E282" i="2"/>
  <c r="F282" i="2" s="1"/>
  <c r="E274" i="2"/>
  <c r="F274" i="2" s="1"/>
  <c r="E266" i="2"/>
  <c r="F266" i="2" s="1"/>
  <c r="E258" i="2"/>
  <c r="F258" i="2" s="1"/>
  <c r="E250" i="2"/>
  <c r="F250" i="2" s="1"/>
  <c r="E242" i="2"/>
  <c r="F242" i="2" s="1"/>
  <c r="E234" i="2"/>
  <c r="F234" i="2" s="1"/>
  <c r="E226" i="2"/>
  <c r="E218" i="2"/>
  <c r="F218" i="2" s="1"/>
  <c r="E210" i="2"/>
  <c r="F210" i="2" s="1"/>
  <c r="E202" i="2"/>
  <c r="F202" i="2" s="1"/>
  <c r="E194" i="2"/>
  <c r="F194" i="2" s="1"/>
  <c r="E186" i="2"/>
  <c r="F186" i="2" s="1"/>
  <c r="E178" i="2"/>
  <c r="F178" i="2" s="1"/>
  <c r="E170" i="2"/>
  <c r="F170" i="2" s="1"/>
  <c r="E162" i="2"/>
  <c r="E154" i="2"/>
  <c r="F154" i="2" s="1"/>
  <c r="E146" i="2"/>
  <c r="F146" i="2" s="1"/>
  <c r="E138" i="2"/>
  <c r="F138" i="2" s="1"/>
  <c r="E130" i="2"/>
  <c r="F130" i="2" s="1"/>
  <c r="E122" i="2"/>
  <c r="F122" i="2" s="1"/>
  <c r="E114" i="2"/>
  <c r="F114" i="2" s="1"/>
  <c r="E106" i="2"/>
  <c r="F106" i="2" s="1"/>
  <c r="E98" i="2"/>
  <c r="E90" i="2"/>
  <c r="F90" i="2" s="1"/>
  <c r="E82" i="2"/>
  <c r="F82" i="2" s="1"/>
  <c r="E74" i="2"/>
  <c r="F74" i="2" s="1"/>
  <c r="E66" i="2"/>
  <c r="F66" i="2" s="1"/>
  <c r="E58" i="2"/>
  <c r="F58" i="2" s="1"/>
  <c r="E50" i="2"/>
  <c r="F50" i="2" s="1"/>
  <c r="E42" i="2"/>
  <c r="F42" i="2" s="1"/>
  <c r="E34" i="2"/>
  <c r="E26" i="2"/>
  <c r="E18" i="2"/>
  <c r="F18" i="2" s="1"/>
  <c r="E10" i="2"/>
  <c r="F10" i="2" s="1"/>
  <c r="E2" i="2"/>
  <c r="F2" i="2" s="1"/>
  <c r="E938" i="2"/>
  <c r="F938" i="2" s="1"/>
  <c r="E874" i="2"/>
  <c r="F874" i="2" s="1"/>
  <c r="E810" i="2"/>
  <c r="F810" i="2" s="1"/>
  <c r="E746" i="2"/>
  <c r="F746" i="2" s="1"/>
  <c r="E667" i="2"/>
  <c r="F667" i="2" s="1"/>
  <c r="E530" i="2"/>
  <c r="F530" i="2" s="1"/>
  <c r="E601" i="2"/>
  <c r="F601" i="2" s="1"/>
  <c r="E593" i="2"/>
  <c r="F593" i="2" s="1"/>
  <c r="E585" i="2"/>
  <c r="F585" i="2" s="1"/>
  <c r="E577" i="2"/>
  <c r="F577" i="2" s="1"/>
  <c r="E569" i="2"/>
  <c r="F569" i="2" s="1"/>
  <c r="E561" i="2"/>
  <c r="F561" i="2" s="1"/>
  <c r="E553" i="2"/>
  <c r="F553" i="2" s="1"/>
  <c r="E545" i="2"/>
  <c r="F545" i="2" s="1"/>
  <c r="E537" i="2"/>
  <c r="F537" i="2" s="1"/>
  <c r="E529" i="2"/>
  <c r="F529" i="2" s="1"/>
  <c r="E521" i="2"/>
  <c r="F521" i="2" s="1"/>
  <c r="E513" i="2"/>
  <c r="F513" i="2" s="1"/>
  <c r="E505" i="2"/>
  <c r="F505" i="2" s="1"/>
  <c r="E497" i="2"/>
  <c r="F497" i="2" s="1"/>
  <c r="E489" i="2"/>
  <c r="F489" i="2" s="1"/>
  <c r="E481" i="2"/>
  <c r="F481" i="2" s="1"/>
  <c r="E473" i="2"/>
  <c r="F473" i="2" s="1"/>
  <c r="E465" i="2"/>
  <c r="F465" i="2" s="1"/>
  <c r="E457" i="2"/>
  <c r="F457" i="2" s="1"/>
  <c r="E449" i="2"/>
  <c r="F449" i="2" s="1"/>
  <c r="E441" i="2"/>
  <c r="F441" i="2" s="1"/>
  <c r="E433" i="2"/>
  <c r="F433" i="2" s="1"/>
  <c r="E425" i="2"/>
  <c r="F425" i="2" s="1"/>
  <c r="E417" i="2"/>
  <c r="F417" i="2" s="1"/>
  <c r="E409" i="2"/>
  <c r="F409" i="2" s="1"/>
  <c r="E393" i="2"/>
  <c r="F393" i="2" s="1"/>
  <c r="E385" i="2"/>
  <c r="F385" i="2" s="1"/>
  <c r="E377" i="2"/>
  <c r="F377" i="2" s="1"/>
  <c r="E369" i="2"/>
  <c r="F369" i="2" s="1"/>
  <c r="E353" i="2"/>
  <c r="F353" i="2" s="1"/>
  <c r="E345" i="2"/>
  <c r="F345" i="2" s="1"/>
  <c r="E337" i="2"/>
  <c r="F337" i="2" s="1"/>
  <c r="E321" i="2"/>
  <c r="F321" i="2" s="1"/>
  <c r="E313" i="2"/>
  <c r="F313" i="2" s="1"/>
  <c r="E305" i="2"/>
  <c r="F305" i="2" s="1"/>
  <c r="E289" i="2"/>
  <c r="F289" i="2" s="1"/>
  <c r="E281" i="2"/>
  <c r="F281" i="2" s="1"/>
  <c r="E273" i="2"/>
  <c r="F273" i="2" s="1"/>
  <c r="E265" i="2"/>
  <c r="F265" i="2" s="1"/>
  <c r="E257" i="2"/>
  <c r="F257" i="2" s="1"/>
  <c r="E249" i="2"/>
  <c r="F249" i="2" s="1"/>
  <c r="E241" i="2"/>
  <c r="F241" i="2" s="1"/>
  <c r="E233" i="2"/>
  <c r="F233" i="2" s="1"/>
  <c r="E217" i="2"/>
  <c r="F217" i="2" s="1"/>
  <c r="E209" i="2"/>
  <c r="F209" i="2" s="1"/>
  <c r="E201" i="2"/>
  <c r="E193" i="2"/>
  <c r="F193" i="2" s="1"/>
  <c r="E185" i="2"/>
  <c r="F185" i="2" s="1"/>
  <c r="E177" i="2"/>
  <c r="F177" i="2" s="1"/>
  <c r="E169" i="2"/>
  <c r="F169" i="2" s="1"/>
  <c r="E161" i="2"/>
  <c r="F161" i="2" s="1"/>
  <c r="E153" i="2"/>
  <c r="F153" i="2" s="1"/>
  <c r="E145" i="2"/>
  <c r="F145" i="2" s="1"/>
  <c r="E137" i="2"/>
  <c r="F137" i="2" s="1"/>
  <c r="E129" i="2"/>
  <c r="F129" i="2" s="1"/>
  <c r="E121" i="2"/>
  <c r="E113" i="2"/>
  <c r="F113" i="2" s="1"/>
  <c r="E105" i="2"/>
  <c r="F105" i="2" s="1"/>
  <c r="E97" i="2"/>
  <c r="F97" i="2" s="1"/>
  <c r="E89" i="2"/>
  <c r="F89" i="2" s="1"/>
  <c r="E81" i="2"/>
  <c r="F81" i="2" s="1"/>
  <c r="E73" i="2"/>
  <c r="F73" i="2" s="1"/>
  <c r="E65" i="2"/>
  <c r="F65" i="2" s="1"/>
  <c r="E57" i="2"/>
  <c r="F57" i="2" s="1"/>
  <c r="E49" i="2"/>
  <c r="F49" i="2" s="1"/>
  <c r="E41" i="2"/>
  <c r="F41" i="2" s="1"/>
  <c r="E33" i="2"/>
  <c r="F33" i="2" s="1"/>
  <c r="E25" i="2"/>
  <c r="F25" i="2" s="1"/>
  <c r="E17" i="2"/>
  <c r="F17" i="2" s="1"/>
  <c r="E9" i="2"/>
  <c r="F9" i="2" s="1"/>
  <c r="E568" i="2"/>
  <c r="F568" i="2" s="1"/>
  <c r="E560" i="2"/>
  <c r="F560" i="2" s="1"/>
  <c r="E552" i="2"/>
  <c r="F552" i="2" s="1"/>
  <c r="E544" i="2"/>
  <c r="F544" i="2" s="1"/>
  <c r="E536" i="2"/>
  <c r="F536" i="2" s="1"/>
  <c r="E528" i="2"/>
  <c r="F528" i="2" s="1"/>
  <c r="E520" i="2"/>
  <c r="F520" i="2" s="1"/>
  <c r="E512" i="2"/>
  <c r="E504" i="2"/>
  <c r="F504" i="2" s="1"/>
  <c r="E496" i="2"/>
  <c r="F496" i="2" s="1"/>
  <c r="E488" i="2"/>
  <c r="F488" i="2" s="1"/>
  <c r="E480" i="2"/>
  <c r="F480" i="2" s="1"/>
  <c r="E472" i="2"/>
  <c r="F472" i="2" s="1"/>
  <c r="E464" i="2"/>
  <c r="F464" i="2" s="1"/>
  <c r="E456" i="2"/>
  <c r="F456" i="2" s="1"/>
  <c r="E448" i="2"/>
  <c r="F448" i="2" s="1"/>
  <c r="E440" i="2"/>
  <c r="F440" i="2" s="1"/>
  <c r="E432" i="2"/>
  <c r="F432" i="2" s="1"/>
  <c r="E424" i="2"/>
  <c r="F424" i="2" s="1"/>
  <c r="E416" i="2"/>
  <c r="F416" i="2" s="1"/>
  <c r="E408" i="2"/>
  <c r="F408" i="2" s="1"/>
  <c r="E400" i="2"/>
  <c r="F400" i="2" s="1"/>
  <c r="E384" i="2"/>
  <c r="F384" i="2" s="1"/>
  <c r="E376" i="2"/>
  <c r="F376" i="2" s="1"/>
  <c r="E368" i="2"/>
  <c r="F368" i="2" s="1"/>
  <c r="E360" i="2"/>
  <c r="E352" i="2"/>
  <c r="F352" i="2" s="1"/>
  <c r="E344" i="2"/>
  <c r="F344" i="2" s="1"/>
  <c r="E336" i="2"/>
  <c r="F336" i="2" s="1"/>
  <c r="E328" i="2"/>
  <c r="F328" i="2" s="1"/>
  <c r="E320" i="2"/>
  <c r="F320" i="2" s="1"/>
  <c r="E312" i="2"/>
  <c r="F312" i="2" s="1"/>
  <c r="E304" i="2"/>
  <c r="F304" i="2" s="1"/>
  <c r="E296" i="2"/>
  <c r="E288" i="2"/>
  <c r="F288" i="2" s="1"/>
  <c r="E280" i="2"/>
  <c r="F280" i="2" s="1"/>
  <c r="E272" i="2"/>
  <c r="F272" i="2" s="1"/>
  <c r="E256" i="2"/>
  <c r="F256" i="2" s="1"/>
  <c r="E248" i="2"/>
  <c r="F248" i="2" s="1"/>
  <c r="E240" i="2"/>
  <c r="F240" i="2" s="1"/>
  <c r="E232" i="2"/>
  <c r="F232" i="2" s="1"/>
  <c r="E224" i="2"/>
  <c r="F224" i="2" s="1"/>
  <c r="E216" i="2"/>
  <c r="F216" i="2" s="1"/>
  <c r="E208" i="2"/>
  <c r="F208" i="2" s="1"/>
  <c r="E192" i="2"/>
  <c r="F192" i="2" s="1"/>
  <c r="E184" i="2"/>
  <c r="F184" i="2" s="1"/>
  <c r="E176" i="2"/>
  <c r="F176" i="2" s="1"/>
  <c r="E168" i="2"/>
  <c r="F168" i="2" s="1"/>
  <c r="E160" i="2"/>
  <c r="F160" i="2" s="1"/>
  <c r="E152" i="2"/>
  <c r="E144" i="2"/>
  <c r="F144" i="2" s="1"/>
  <c r="E128" i="2"/>
  <c r="F128" i="2" s="1"/>
  <c r="E120" i="2"/>
  <c r="F120" i="2" s="1"/>
  <c r="E112" i="2"/>
  <c r="F112" i="2" s="1"/>
  <c r="E104" i="2"/>
  <c r="F104" i="2" s="1"/>
  <c r="E96" i="2"/>
  <c r="E88" i="2"/>
  <c r="F88" i="2" s="1"/>
  <c r="E80" i="2"/>
  <c r="E64" i="2"/>
  <c r="F64" i="2" s="1"/>
  <c r="E56" i="2"/>
  <c r="F56" i="2" s="1"/>
  <c r="E48" i="2"/>
  <c r="F48" i="2" s="1"/>
  <c r="E40" i="2"/>
  <c r="F40" i="2" s="1"/>
  <c r="E32" i="2"/>
  <c r="F32" i="2" s="1"/>
  <c r="E24" i="2"/>
  <c r="E16" i="2"/>
  <c r="F16" i="2" s="1"/>
  <c r="E361" i="2"/>
  <c r="F361" i="2" s="1"/>
  <c r="E8" i="2"/>
  <c r="F8" i="2" s="1"/>
  <c r="E415" i="2"/>
  <c r="F415" i="2" s="1"/>
  <c r="E407" i="2"/>
  <c r="F407" i="2" s="1"/>
  <c r="E399" i="2"/>
  <c r="F399" i="2" s="1"/>
  <c r="E391" i="2"/>
  <c r="F391" i="2" s="1"/>
  <c r="E383" i="2"/>
  <c r="E375" i="2"/>
  <c r="E367" i="2"/>
  <c r="E359" i="2"/>
  <c r="F359" i="2" s="1"/>
  <c r="E351" i="2"/>
  <c r="F351" i="2" s="1"/>
  <c r="E343" i="2"/>
  <c r="F343" i="2" s="1"/>
  <c r="E335" i="2"/>
  <c r="F335" i="2" s="1"/>
  <c r="E327" i="2"/>
  <c r="F327" i="2" s="1"/>
  <c r="E319" i="2"/>
  <c r="E311" i="2"/>
  <c r="E303" i="2"/>
  <c r="E295" i="2"/>
  <c r="F295" i="2" s="1"/>
  <c r="E287" i="2"/>
  <c r="F287" i="2" s="1"/>
  <c r="E279" i="2"/>
  <c r="F279" i="2" s="1"/>
  <c r="E271" i="2"/>
  <c r="F271" i="2" s="1"/>
  <c r="E263" i="2"/>
  <c r="F263" i="2" s="1"/>
  <c r="E255" i="2"/>
  <c r="E247" i="2"/>
  <c r="E239" i="2"/>
  <c r="E231" i="2"/>
  <c r="F231" i="2" s="1"/>
  <c r="E223" i="2"/>
  <c r="F223" i="2" s="1"/>
  <c r="E215" i="2"/>
  <c r="F215" i="2" s="1"/>
  <c r="E207" i="2"/>
  <c r="F207" i="2" s="1"/>
  <c r="E199" i="2"/>
  <c r="F199" i="2" s="1"/>
  <c r="E191" i="2"/>
  <c r="E183" i="2"/>
  <c r="E175" i="2"/>
  <c r="E167" i="2"/>
  <c r="F167" i="2" s="1"/>
  <c r="E159" i="2"/>
  <c r="F159" i="2" s="1"/>
  <c r="E151" i="2"/>
  <c r="F151" i="2" s="1"/>
  <c r="E143" i="2"/>
  <c r="F143" i="2" s="1"/>
  <c r="E135" i="2"/>
  <c r="F135" i="2" s="1"/>
  <c r="E127" i="2"/>
  <c r="E119" i="2"/>
  <c r="E111" i="2"/>
  <c r="E103" i="2"/>
  <c r="F103" i="2" s="1"/>
  <c r="E95" i="2"/>
  <c r="F95" i="2" s="1"/>
  <c r="E87" i="2"/>
  <c r="F87" i="2" s="1"/>
  <c r="E79" i="2"/>
  <c r="F79" i="2" s="1"/>
  <c r="E71" i="2"/>
  <c r="F71" i="2" s="1"/>
  <c r="E63" i="2"/>
  <c r="E55" i="2"/>
  <c r="E47" i="2"/>
  <c r="F47" i="2" s="1"/>
  <c r="E39" i="2"/>
  <c r="F39" i="2" s="1"/>
  <c r="E31" i="2"/>
  <c r="F31" i="2" s="1"/>
  <c r="E23" i="2"/>
  <c r="F23" i="2" s="1"/>
  <c r="E15" i="2"/>
  <c r="F15" i="2" s="1"/>
  <c r="E7" i="2"/>
  <c r="F7" i="2" s="1"/>
  <c r="E423" i="2"/>
  <c r="F423" i="2" s="1"/>
  <c r="E264" i="2"/>
  <c r="F264" i="2" s="1"/>
  <c r="E630" i="2"/>
  <c r="F630" i="2" s="1"/>
  <c r="E622" i="2"/>
  <c r="F622" i="2" s="1"/>
  <c r="E614" i="2"/>
  <c r="F614" i="2" s="1"/>
  <c r="E606" i="2"/>
  <c r="F606" i="2" s="1"/>
  <c r="E598" i="2"/>
  <c r="F598" i="2" s="1"/>
  <c r="E590" i="2"/>
  <c r="F590" i="2" s="1"/>
  <c r="E582" i="2"/>
  <c r="F582" i="2" s="1"/>
  <c r="E574" i="2"/>
  <c r="F574" i="2" s="1"/>
  <c r="E566" i="2"/>
  <c r="F566" i="2" s="1"/>
  <c r="E558" i="2"/>
  <c r="F558" i="2" s="1"/>
  <c r="E550" i="2"/>
  <c r="F550" i="2" s="1"/>
  <c r="E542" i="2"/>
  <c r="F542" i="2" s="1"/>
  <c r="E534" i="2"/>
  <c r="F534" i="2" s="1"/>
  <c r="E526" i="2"/>
  <c r="F526" i="2" s="1"/>
  <c r="E518" i="2"/>
  <c r="F518" i="2" s="1"/>
  <c r="E510" i="2"/>
  <c r="F510" i="2" s="1"/>
  <c r="E502" i="2"/>
  <c r="F502" i="2" s="1"/>
  <c r="E494" i="2"/>
  <c r="F494" i="2" s="1"/>
  <c r="E486" i="2"/>
  <c r="F486" i="2" s="1"/>
  <c r="E478" i="2"/>
  <c r="F478" i="2" s="1"/>
  <c r="E462" i="2"/>
  <c r="F462" i="2" s="1"/>
  <c r="E454" i="2"/>
  <c r="F454" i="2" s="1"/>
  <c r="E446" i="2"/>
  <c r="F446" i="2" s="1"/>
  <c r="E438" i="2"/>
  <c r="F438" i="2" s="1"/>
  <c r="E430" i="2"/>
  <c r="F430" i="2" s="1"/>
  <c r="E422" i="2"/>
  <c r="F422" i="2" s="1"/>
  <c r="E414" i="2"/>
  <c r="F414" i="2" s="1"/>
  <c r="E406" i="2"/>
  <c r="F406" i="2" s="1"/>
  <c r="E398" i="2"/>
  <c r="F398" i="2" s="1"/>
  <c r="E390" i="2"/>
  <c r="F390" i="2" s="1"/>
  <c r="E382" i="2"/>
  <c r="F382" i="2" s="1"/>
  <c r="E374" i="2"/>
  <c r="F374" i="2" s="1"/>
  <c r="E366" i="2"/>
  <c r="F366" i="2" s="1"/>
  <c r="E358" i="2"/>
  <c r="F358" i="2" s="1"/>
  <c r="E350" i="2"/>
  <c r="F350" i="2" s="1"/>
  <c r="E334" i="2"/>
  <c r="F334" i="2" s="1"/>
  <c r="E326" i="2"/>
  <c r="F326" i="2" s="1"/>
  <c r="E318" i="2"/>
  <c r="F318" i="2" s="1"/>
  <c r="E310" i="2"/>
  <c r="F310" i="2" s="1"/>
  <c r="E302" i="2"/>
  <c r="F302" i="2" s="1"/>
  <c r="E294" i="2"/>
  <c r="F294" i="2" s="1"/>
  <c r="E286" i="2"/>
  <c r="F286" i="2" s="1"/>
  <c r="E278" i="2"/>
  <c r="F278" i="2" s="1"/>
  <c r="E270" i="2"/>
  <c r="F270" i="2" s="1"/>
  <c r="E262" i="2"/>
  <c r="F262" i="2" s="1"/>
  <c r="E254" i="2"/>
  <c r="F254" i="2" s="1"/>
  <c r="E246" i="2"/>
  <c r="F246" i="2" s="1"/>
  <c r="E238" i="2"/>
  <c r="F238" i="2" s="1"/>
  <c r="E230" i="2"/>
  <c r="F230" i="2" s="1"/>
  <c r="E222" i="2"/>
  <c r="F222" i="2" s="1"/>
  <c r="E214" i="2"/>
  <c r="F214" i="2" s="1"/>
  <c r="E206" i="2"/>
  <c r="F206" i="2" s="1"/>
  <c r="E198" i="2"/>
  <c r="F198" i="2" s="1"/>
  <c r="E190" i="2"/>
  <c r="F190" i="2" s="1"/>
  <c r="E182" i="2"/>
  <c r="F182" i="2" s="1"/>
  <c r="E174" i="2"/>
  <c r="F174" i="2" s="1"/>
  <c r="E166" i="2"/>
  <c r="F166" i="2" s="1"/>
  <c r="E158" i="2"/>
  <c r="F158" i="2" s="1"/>
  <c r="E150" i="2"/>
  <c r="F150" i="2" s="1"/>
  <c r="E142" i="2"/>
  <c r="F142" i="2" s="1"/>
  <c r="E134" i="2"/>
  <c r="F134" i="2" s="1"/>
  <c r="E126" i="2"/>
  <c r="F126" i="2" s="1"/>
  <c r="E118" i="2"/>
  <c r="F118" i="2" s="1"/>
  <c r="E110" i="2"/>
  <c r="F110" i="2" s="1"/>
  <c r="E102" i="2"/>
  <c r="F102" i="2" s="1"/>
  <c r="E94" i="2"/>
  <c r="F94" i="2" s="1"/>
  <c r="E86" i="2"/>
  <c r="F86" i="2" s="1"/>
  <c r="E78" i="2"/>
  <c r="F78" i="2" s="1"/>
  <c r="E70" i="2"/>
  <c r="F70" i="2" s="1"/>
  <c r="E62" i="2"/>
  <c r="F62" i="2" s="1"/>
  <c r="E54" i="2"/>
  <c r="F54" i="2" s="1"/>
  <c r="E46" i="2"/>
  <c r="F46" i="2" s="1"/>
  <c r="E38" i="2"/>
  <c r="F38" i="2" s="1"/>
  <c r="E30" i="2"/>
  <c r="F30" i="2" s="1"/>
  <c r="E22" i="2"/>
  <c r="F22" i="2" s="1"/>
  <c r="E14" i="2"/>
  <c r="F14" i="2" s="1"/>
  <c r="E6" i="2"/>
  <c r="F6" i="2" s="1"/>
  <c r="E136" i="2"/>
  <c r="F136" i="2" s="1"/>
  <c r="E581" i="2"/>
  <c r="F581" i="2" s="1"/>
  <c r="E573" i="2"/>
  <c r="F573" i="2" s="1"/>
  <c r="E565" i="2"/>
  <c r="F565" i="2" s="1"/>
  <c r="E557" i="2"/>
  <c r="F557" i="2" s="1"/>
  <c r="E549" i="2"/>
  <c r="F549" i="2" s="1"/>
  <c r="E541" i="2"/>
  <c r="F541" i="2" s="1"/>
  <c r="E533" i="2"/>
  <c r="F533" i="2" s="1"/>
  <c r="E525" i="2"/>
  <c r="F525" i="2" s="1"/>
  <c r="E517" i="2"/>
  <c r="F517" i="2" s="1"/>
  <c r="E509" i="2"/>
  <c r="F509" i="2" s="1"/>
  <c r="E501" i="2"/>
  <c r="F501" i="2" s="1"/>
  <c r="E493" i="2"/>
  <c r="F493" i="2" s="1"/>
  <c r="E485" i="2"/>
  <c r="F485" i="2" s="1"/>
  <c r="E477" i="2"/>
  <c r="F477" i="2" s="1"/>
  <c r="E469" i="2"/>
  <c r="F469" i="2" s="1"/>
  <c r="E461" i="2"/>
  <c r="F461" i="2" s="1"/>
  <c r="E453" i="2"/>
  <c r="F453" i="2" s="1"/>
  <c r="E445" i="2"/>
  <c r="F445" i="2" s="1"/>
  <c r="E437" i="2"/>
  <c r="F437" i="2" s="1"/>
  <c r="E429" i="2"/>
  <c r="F429" i="2" s="1"/>
  <c r="E421" i="2"/>
  <c r="F421" i="2" s="1"/>
  <c r="E413" i="2"/>
  <c r="F413" i="2" s="1"/>
  <c r="E405" i="2"/>
  <c r="F405" i="2" s="1"/>
  <c r="E397" i="2"/>
  <c r="F397" i="2" s="1"/>
  <c r="E389" i="2"/>
  <c r="F389" i="2" s="1"/>
  <c r="E373" i="2"/>
  <c r="F373" i="2" s="1"/>
  <c r="E365" i="2"/>
  <c r="F365" i="2" s="1"/>
  <c r="E357" i="2"/>
  <c r="F357" i="2" s="1"/>
  <c r="E341" i="2"/>
  <c r="F341" i="2" s="1"/>
  <c r="E333" i="2"/>
  <c r="F333" i="2" s="1"/>
  <c r="E325" i="2"/>
  <c r="F325" i="2" s="1"/>
  <c r="E309" i="2"/>
  <c r="F309" i="2" s="1"/>
  <c r="E301" i="2"/>
  <c r="F301" i="2" s="1"/>
  <c r="E293" i="2"/>
  <c r="F293" i="2" s="1"/>
  <c r="E277" i="2"/>
  <c r="F277" i="2" s="1"/>
  <c r="E269" i="2"/>
  <c r="F269" i="2" s="1"/>
  <c r="E261" i="2"/>
  <c r="F261" i="2" s="1"/>
  <c r="E253" i="2"/>
  <c r="F253" i="2" s="1"/>
  <c r="E245" i="2"/>
  <c r="F245" i="2" s="1"/>
  <c r="E237" i="2"/>
  <c r="F237" i="2" s="1"/>
  <c r="E229" i="2"/>
  <c r="F229" i="2" s="1"/>
  <c r="E221" i="2"/>
  <c r="F221" i="2" s="1"/>
  <c r="E213" i="2"/>
  <c r="F213" i="2" s="1"/>
  <c r="E205" i="2"/>
  <c r="F205" i="2" s="1"/>
  <c r="E197" i="2"/>
  <c r="F197" i="2" s="1"/>
  <c r="E189" i="2"/>
  <c r="F189" i="2" s="1"/>
  <c r="E181" i="2"/>
  <c r="F181" i="2" s="1"/>
  <c r="E173" i="2"/>
  <c r="F173" i="2" s="1"/>
  <c r="E165" i="2"/>
  <c r="F165" i="2" s="1"/>
  <c r="E157" i="2"/>
  <c r="F157" i="2" s="1"/>
  <c r="E149" i="2"/>
  <c r="F149" i="2" s="1"/>
  <c r="E141" i="2"/>
  <c r="F141" i="2" s="1"/>
  <c r="E133" i="2"/>
  <c r="F133" i="2" s="1"/>
  <c r="E125" i="2"/>
  <c r="F125" i="2" s="1"/>
  <c r="E117" i="2"/>
  <c r="F117" i="2" s="1"/>
  <c r="E109" i="2"/>
  <c r="F109" i="2" s="1"/>
  <c r="E101" i="2"/>
  <c r="F101" i="2" s="1"/>
  <c r="E93" i="2"/>
  <c r="F93" i="2" s="1"/>
  <c r="E85" i="2"/>
  <c r="F85" i="2" s="1"/>
  <c r="E77" i="2"/>
  <c r="F77" i="2" s="1"/>
  <c r="E69" i="2"/>
  <c r="F69" i="2" s="1"/>
  <c r="E61" i="2"/>
  <c r="F61" i="2" s="1"/>
  <c r="E53" i="2"/>
  <c r="F53" i="2" s="1"/>
  <c r="E45" i="2"/>
  <c r="F45" i="2" s="1"/>
  <c r="E37" i="2"/>
  <c r="F37" i="2" s="1"/>
  <c r="E29" i="2"/>
  <c r="F29" i="2" s="1"/>
  <c r="E21" i="2"/>
  <c r="F21" i="2" s="1"/>
  <c r="E13" i="2"/>
  <c r="F13" i="2" s="1"/>
  <c r="E5" i="2"/>
  <c r="F5" i="2" s="1"/>
  <c r="E329" i="2"/>
  <c r="F329" i="2" s="1"/>
  <c r="E580" i="2"/>
  <c r="F580" i="2" s="1"/>
  <c r="E572" i="2"/>
  <c r="F572" i="2" s="1"/>
  <c r="E564" i="2"/>
  <c r="F564" i="2" s="1"/>
  <c r="E556" i="2"/>
  <c r="F556" i="2" s="1"/>
  <c r="E548" i="2"/>
  <c r="F548" i="2" s="1"/>
  <c r="E540" i="2"/>
  <c r="F540" i="2" s="1"/>
  <c r="E532" i="2"/>
  <c r="F532" i="2" s="1"/>
  <c r="E524" i="2"/>
  <c r="F524" i="2" s="1"/>
  <c r="E516" i="2"/>
  <c r="F516" i="2" s="1"/>
  <c r="E508" i="2"/>
  <c r="F508" i="2" s="1"/>
  <c r="E500" i="2"/>
  <c r="F500" i="2" s="1"/>
  <c r="E492" i="2"/>
  <c r="F492" i="2" s="1"/>
  <c r="E484" i="2"/>
  <c r="F484" i="2" s="1"/>
  <c r="E476" i="2"/>
  <c r="F476" i="2" s="1"/>
  <c r="E468" i="2"/>
  <c r="F468" i="2" s="1"/>
  <c r="E460" i="2"/>
  <c r="F460" i="2" s="1"/>
  <c r="E452" i="2"/>
  <c r="F452" i="2" s="1"/>
  <c r="E444" i="2"/>
  <c r="F444" i="2" s="1"/>
  <c r="E436" i="2"/>
  <c r="F436" i="2" s="1"/>
  <c r="E428" i="2"/>
  <c r="F428" i="2" s="1"/>
  <c r="E420" i="2"/>
  <c r="F420" i="2" s="1"/>
  <c r="E412" i="2"/>
  <c r="F412" i="2" s="1"/>
  <c r="E404" i="2"/>
  <c r="F404" i="2" s="1"/>
  <c r="E396" i="2"/>
  <c r="F396" i="2" s="1"/>
  <c r="E388" i="2"/>
  <c r="F388" i="2" s="1"/>
  <c r="E380" i="2"/>
  <c r="F380" i="2" s="1"/>
  <c r="E372" i="2"/>
  <c r="F372" i="2" s="1"/>
  <c r="E364" i="2"/>
  <c r="F364" i="2" s="1"/>
  <c r="E356" i="2"/>
  <c r="F356" i="2" s="1"/>
  <c r="E348" i="2"/>
  <c r="F348" i="2" s="1"/>
  <c r="E340" i="2"/>
  <c r="F340" i="2" s="1"/>
  <c r="E332" i="2"/>
  <c r="F332" i="2" s="1"/>
  <c r="E324" i="2"/>
  <c r="F324" i="2" s="1"/>
  <c r="E316" i="2"/>
  <c r="F316" i="2" s="1"/>
  <c r="E308" i="2"/>
  <c r="F308" i="2" s="1"/>
  <c r="E300" i="2"/>
  <c r="F300" i="2" s="1"/>
  <c r="E292" i="2"/>
  <c r="F292" i="2" s="1"/>
  <c r="E284" i="2"/>
  <c r="F284" i="2" s="1"/>
  <c r="E276" i="2"/>
  <c r="F276" i="2" s="1"/>
  <c r="E268" i="2"/>
  <c r="F268" i="2" s="1"/>
  <c r="E260" i="2"/>
  <c r="F260" i="2" s="1"/>
  <c r="E252" i="2"/>
  <c r="F252" i="2" s="1"/>
  <c r="E244" i="2"/>
  <c r="F244" i="2" s="1"/>
  <c r="E228" i="2"/>
  <c r="F228" i="2" s="1"/>
  <c r="E220" i="2"/>
  <c r="F220" i="2" s="1"/>
  <c r="E204" i="2"/>
  <c r="F204" i="2" s="1"/>
  <c r="E196" i="2"/>
  <c r="F196" i="2" s="1"/>
  <c r="E188" i="2"/>
  <c r="F188" i="2" s="1"/>
  <c r="E180" i="2"/>
  <c r="F180" i="2" s="1"/>
  <c r="E164" i="2"/>
  <c r="F164" i="2" s="1"/>
  <c r="E148" i="2"/>
  <c r="F148" i="2" s="1"/>
  <c r="E140" i="2"/>
  <c r="F140" i="2" s="1"/>
  <c r="E132" i="2"/>
  <c r="F132" i="2" s="1"/>
  <c r="E124" i="2"/>
  <c r="F124" i="2" s="1"/>
  <c r="E116" i="2"/>
  <c r="F116" i="2" s="1"/>
  <c r="E108" i="2"/>
  <c r="F108" i="2" s="1"/>
  <c r="E100" i="2"/>
  <c r="F100" i="2" s="1"/>
  <c r="E84" i="2"/>
  <c r="F84" i="2" s="1"/>
  <c r="E76" i="2"/>
  <c r="F76" i="2" s="1"/>
  <c r="E68" i="2"/>
  <c r="F68" i="2" s="1"/>
  <c r="E60" i="2"/>
  <c r="F60" i="2" s="1"/>
  <c r="E52" i="2"/>
  <c r="F52" i="2" s="1"/>
  <c r="E44" i="2"/>
  <c r="F44" i="2" s="1"/>
  <c r="E36" i="2"/>
  <c r="F36" i="2" s="1"/>
  <c r="E20" i="2"/>
  <c r="F20" i="2" s="1"/>
  <c r="E12" i="2"/>
  <c r="F12" i="2" s="1"/>
  <c r="E4" i="2"/>
  <c r="F4" i="2" s="1"/>
  <c r="E401" i="2"/>
  <c r="F401" i="2" s="1"/>
  <c r="E317" i="2"/>
  <c r="F317" i="2" s="1"/>
  <c r="E225" i="2"/>
  <c r="F225" i="2" s="1"/>
  <c r="E92" i="2"/>
  <c r="F92" i="2" s="1"/>
  <c r="E419" i="2"/>
  <c r="F419" i="2" s="1"/>
  <c r="E411" i="2"/>
  <c r="F411" i="2" s="1"/>
  <c r="E403" i="2"/>
  <c r="F403" i="2" s="1"/>
  <c r="E395" i="2"/>
  <c r="F395" i="2" s="1"/>
  <c r="E387" i="2"/>
  <c r="F387" i="2" s="1"/>
  <c r="E379" i="2"/>
  <c r="F379" i="2" s="1"/>
  <c r="E363" i="2"/>
  <c r="F363" i="2" s="1"/>
  <c r="E355" i="2"/>
  <c r="F355" i="2" s="1"/>
  <c r="E347" i="2"/>
  <c r="F347" i="2" s="1"/>
  <c r="E331" i="2"/>
  <c r="F331" i="2" s="1"/>
  <c r="E323" i="2"/>
  <c r="F323" i="2" s="1"/>
  <c r="E315" i="2"/>
  <c r="F315" i="2" s="1"/>
  <c r="E299" i="2"/>
  <c r="F299" i="2" s="1"/>
  <c r="E291" i="2"/>
  <c r="F291" i="2" s="1"/>
  <c r="E283" i="2"/>
  <c r="F283" i="2" s="1"/>
  <c r="E267" i="2"/>
  <c r="F267" i="2" s="1"/>
  <c r="E259" i="2"/>
  <c r="F259" i="2" s="1"/>
  <c r="E251" i="2"/>
  <c r="F251" i="2" s="1"/>
  <c r="E243" i="2"/>
  <c r="F243" i="2" s="1"/>
  <c r="E235" i="2"/>
  <c r="F235" i="2" s="1"/>
  <c r="E227" i="2"/>
  <c r="F227" i="2" s="1"/>
  <c r="E219" i="2"/>
  <c r="F219" i="2" s="1"/>
  <c r="E203" i="2"/>
  <c r="F203" i="2" s="1"/>
  <c r="E195" i="2"/>
  <c r="F195" i="2" s="1"/>
  <c r="E187" i="2"/>
  <c r="F187" i="2" s="1"/>
  <c r="E179" i="2"/>
  <c r="F179" i="2" s="1"/>
  <c r="E171" i="2"/>
  <c r="F171" i="2" s="1"/>
  <c r="E163" i="2"/>
  <c r="F163" i="2" s="1"/>
  <c r="E155" i="2"/>
  <c r="F155" i="2" s="1"/>
  <c r="E147" i="2"/>
  <c r="F147" i="2" s="1"/>
  <c r="E139" i="2"/>
  <c r="F139" i="2" s="1"/>
  <c r="E131" i="2"/>
  <c r="F131" i="2" s="1"/>
  <c r="E123" i="2"/>
  <c r="F123" i="2" s="1"/>
  <c r="E107" i="2"/>
  <c r="F107" i="2" s="1"/>
  <c r="E99" i="2"/>
  <c r="F99" i="2" s="1"/>
  <c r="E91" i="2"/>
  <c r="F91" i="2" s="1"/>
  <c r="E83" i="2"/>
  <c r="F83" i="2" s="1"/>
  <c r="E75" i="2"/>
  <c r="F75" i="2" s="1"/>
  <c r="E67" i="2"/>
  <c r="F67" i="2" s="1"/>
  <c r="E59" i="2"/>
  <c r="F59" i="2" s="1"/>
  <c r="E43" i="2"/>
  <c r="F43" i="2" s="1"/>
  <c r="E35" i="2"/>
  <c r="F35" i="2" s="1"/>
  <c r="E27" i="2"/>
  <c r="F27" i="2" s="1"/>
  <c r="E19" i="2"/>
  <c r="F19" i="2" s="1"/>
  <c r="E11" i="2"/>
  <c r="F11" i="2" s="1"/>
  <c r="E3" i="2"/>
  <c r="F3" i="2" s="1"/>
  <c r="E439" i="2"/>
  <c r="F439" i="2" s="1"/>
  <c r="E392" i="2"/>
  <c r="F392" i="2" s="1"/>
  <c r="E307" i="2"/>
  <c r="F307" i="2" s="1"/>
  <c r="E211" i="2"/>
  <c r="F211" i="2" s="1"/>
  <c r="E72" i="2"/>
  <c r="F72" i="2" s="1"/>
  <c r="F996" i="1"/>
  <c r="G996" i="1" s="1"/>
  <c r="F988" i="1"/>
  <c r="G988" i="1" s="1"/>
  <c r="F980" i="1"/>
  <c r="G980" i="1" s="1"/>
  <c r="F972" i="1"/>
  <c r="G972" i="1" s="1"/>
  <c r="F964" i="1"/>
  <c r="G964" i="1" s="1"/>
  <c r="F956" i="1"/>
  <c r="G956" i="1" s="1"/>
  <c r="F948" i="1"/>
  <c r="G948" i="1" s="1"/>
  <c r="F940" i="1"/>
  <c r="G940" i="1" s="1"/>
  <c r="F932" i="1"/>
  <c r="G932" i="1" s="1"/>
  <c r="F924" i="1"/>
  <c r="G924" i="1" s="1"/>
  <c r="F916" i="1"/>
  <c r="G916" i="1" s="1"/>
  <c r="F908" i="1"/>
  <c r="G908" i="1" s="1"/>
  <c r="F900" i="1"/>
  <c r="G900" i="1" s="1"/>
  <c r="F892" i="1"/>
  <c r="G892" i="1" s="1"/>
  <c r="F884" i="1"/>
  <c r="G884" i="1" s="1"/>
  <c r="F876" i="1"/>
  <c r="G876" i="1" s="1"/>
  <c r="F868" i="1"/>
  <c r="G868" i="1" s="1"/>
  <c r="F860" i="1"/>
  <c r="G860" i="1" s="1"/>
  <c r="F852" i="1"/>
  <c r="G852" i="1" s="1"/>
  <c r="F844" i="1"/>
  <c r="G844" i="1" s="1"/>
  <c r="F836" i="1"/>
  <c r="G836" i="1" s="1"/>
  <c r="F828" i="1"/>
  <c r="G828" i="1" s="1"/>
  <c r="F820" i="1"/>
  <c r="G820" i="1" s="1"/>
  <c r="F812" i="1"/>
  <c r="G812" i="1" s="1"/>
  <c r="F804" i="1"/>
  <c r="G804" i="1" s="1"/>
  <c r="F796" i="1"/>
  <c r="G796" i="1" s="1"/>
  <c r="F788" i="1"/>
  <c r="G788" i="1" s="1"/>
  <c r="F780" i="1"/>
  <c r="G780" i="1" s="1"/>
  <c r="F772" i="1"/>
  <c r="G772" i="1" s="1"/>
  <c r="F764" i="1"/>
  <c r="G764" i="1" s="1"/>
  <c r="F756" i="1"/>
  <c r="G756" i="1" s="1"/>
  <c r="F748" i="1"/>
  <c r="G748" i="1" s="1"/>
  <c r="F740" i="1"/>
  <c r="G740" i="1" s="1"/>
  <c r="F732" i="1"/>
  <c r="G732" i="1" s="1"/>
  <c r="F724" i="1"/>
  <c r="G724" i="1" s="1"/>
  <c r="F716" i="1"/>
  <c r="G716" i="1" s="1"/>
  <c r="F708" i="1"/>
  <c r="G708" i="1" s="1"/>
  <c r="F700" i="1"/>
  <c r="G700" i="1" s="1"/>
  <c r="F692" i="1"/>
  <c r="G692" i="1" s="1"/>
  <c r="F684" i="1"/>
  <c r="G684" i="1" s="1"/>
  <c r="F676" i="1"/>
  <c r="G676" i="1" s="1"/>
  <c r="F668" i="1"/>
  <c r="G668" i="1" s="1"/>
  <c r="F660" i="1"/>
  <c r="G660" i="1" s="1"/>
  <c r="F652" i="1"/>
  <c r="G652" i="1" s="1"/>
  <c r="F644" i="1"/>
  <c r="G644" i="1" s="1"/>
  <c r="F636" i="1"/>
  <c r="G636" i="1" s="1"/>
  <c r="F628" i="1"/>
  <c r="G628" i="1" s="1"/>
  <c r="F620" i="1"/>
  <c r="G620" i="1" s="1"/>
  <c r="F612" i="1"/>
  <c r="G612" i="1" s="1"/>
  <c r="F604" i="1"/>
  <c r="G604" i="1" s="1"/>
  <c r="F596" i="1"/>
  <c r="G596" i="1" s="1"/>
  <c r="F588" i="1"/>
  <c r="G588" i="1" s="1"/>
  <c r="F580" i="1"/>
  <c r="G580" i="1" s="1"/>
  <c r="F572" i="1"/>
  <c r="G572" i="1" s="1"/>
  <c r="F564" i="1"/>
  <c r="G564" i="1" s="1"/>
  <c r="F556" i="1"/>
  <c r="G556" i="1" s="1"/>
  <c r="F548" i="1"/>
  <c r="G548" i="1" s="1"/>
  <c r="F540" i="1"/>
  <c r="G540" i="1" s="1"/>
  <c r="F532" i="1"/>
  <c r="G532" i="1" s="1"/>
  <c r="F524" i="1"/>
  <c r="G524" i="1" s="1"/>
  <c r="F516" i="1"/>
  <c r="G516" i="1" s="1"/>
  <c r="F508" i="1"/>
  <c r="G508" i="1" s="1"/>
  <c r="F500" i="1"/>
  <c r="G500" i="1" s="1"/>
  <c r="F492" i="1"/>
  <c r="G492" i="1" s="1"/>
  <c r="F484" i="1"/>
  <c r="G484" i="1" s="1"/>
  <c r="F476" i="1"/>
  <c r="G476" i="1" s="1"/>
  <c r="F468" i="1"/>
  <c r="G468" i="1" s="1"/>
  <c r="F460" i="1"/>
  <c r="G460" i="1" s="1"/>
  <c r="F452" i="1"/>
  <c r="G452" i="1" s="1"/>
  <c r="F444" i="1"/>
  <c r="G444" i="1" s="1"/>
  <c r="F436" i="1"/>
  <c r="G436" i="1" s="1"/>
  <c r="F428" i="1"/>
  <c r="G428" i="1" s="1"/>
  <c r="F420" i="1"/>
  <c r="G420" i="1" s="1"/>
  <c r="F412" i="1"/>
  <c r="G412" i="1" s="1"/>
  <c r="F404" i="1"/>
  <c r="G404" i="1" s="1"/>
  <c r="F396" i="1"/>
  <c r="G396" i="1" s="1"/>
  <c r="F388" i="1"/>
  <c r="G388" i="1" s="1"/>
  <c r="F380" i="1"/>
  <c r="G380" i="1" s="1"/>
  <c r="F372" i="1"/>
  <c r="G372" i="1" s="1"/>
  <c r="F364" i="1"/>
  <c r="G364" i="1" s="1"/>
  <c r="F356" i="1"/>
  <c r="G356" i="1" s="1"/>
  <c r="F348" i="1"/>
  <c r="G348" i="1" s="1"/>
  <c r="F340" i="1"/>
  <c r="G340" i="1" s="1"/>
  <c r="F332" i="1"/>
  <c r="G332" i="1" s="1"/>
  <c r="F324" i="1"/>
  <c r="G324" i="1" s="1"/>
  <c r="F994" i="1"/>
  <c r="G994" i="1" s="1"/>
  <c r="F986" i="1"/>
  <c r="G986" i="1" s="1"/>
  <c r="F978" i="1"/>
  <c r="G978" i="1" s="1"/>
  <c r="F970" i="1"/>
  <c r="G970" i="1" s="1"/>
  <c r="F962" i="1"/>
  <c r="G962" i="1" s="1"/>
  <c r="F954" i="1"/>
  <c r="G954" i="1" s="1"/>
  <c r="F946" i="1"/>
  <c r="G946" i="1" s="1"/>
  <c r="F938" i="1"/>
  <c r="G938" i="1" s="1"/>
  <c r="F930" i="1"/>
  <c r="G930" i="1" s="1"/>
  <c r="F922" i="1"/>
  <c r="G922" i="1" s="1"/>
  <c r="F914" i="1"/>
  <c r="G914" i="1" s="1"/>
  <c r="F906" i="1"/>
  <c r="G906" i="1" s="1"/>
  <c r="F898" i="1"/>
  <c r="G898" i="1" s="1"/>
  <c r="F890" i="1"/>
  <c r="G890" i="1" s="1"/>
  <c r="F882" i="1"/>
  <c r="G882" i="1" s="1"/>
  <c r="F874" i="1"/>
  <c r="G874" i="1" s="1"/>
  <c r="F866" i="1"/>
  <c r="G866" i="1" s="1"/>
  <c r="F858" i="1"/>
  <c r="G858" i="1" s="1"/>
  <c r="F850" i="1"/>
  <c r="G850" i="1" s="1"/>
  <c r="F842" i="1"/>
  <c r="G842" i="1" s="1"/>
  <c r="F834" i="1"/>
  <c r="G834" i="1" s="1"/>
  <c r="F826" i="1"/>
  <c r="G826" i="1" s="1"/>
  <c r="F818" i="1"/>
  <c r="G818" i="1" s="1"/>
  <c r="F810" i="1"/>
  <c r="G810" i="1" s="1"/>
  <c r="F802" i="1"/>
  <c r="G802" i="1" s="1"/>
  <c r="F794" i="1"/>
  <c r="G794" i="1" s="1"/>
  <c r="F786" i="1"/>
  <c r="G786" i="1" s="1"/>
  <c r="F778" i="1"/>
  <c r="G778" i="1" s="1"/>
  <c r="F770" i="1"/>
  <c r="G770" i="1" s="1"/>
  <c r="F762" i="1"/>
  <c r="G762" i="1" s="1"/>
  <c r="F754" i="1"/>
  <c r="G754" i="1" s="1"/>
  <c r="F746" i="1"/>
  <c r="G746" i="1" s="1"/>
  <c r="F738" i="1"/>
  <c r="G738" i="1" s="1"/>
  <c r="F730" i="1"/>
  <c r="G730" i="1" s="1"/>
  <c r="F722" i="1"/>
  <c r="G722" i="1" s="1"/>
  <c r="F714" i="1"/>
  <c r="G714" i="1" s="1"/>
  <c r="F706" i="1"/>
  <c r="G706" i="1" s="1"/>
  <c r="F698" i="1"/>
  <c r="G698" i="1" s="1"/>
  <c r="F690" i="1"/>
  <c r="G690" i="1" s="1"/>
  <c r="F682" i="1"/>
  <c r="G682" i="1" s="1"/>
  <c r="F674" i="1"/>
  <c r="F666" i="1"/>
  <c r="G666" i="1" s="1"/>
  <c r="F658" i="1"/>
  <c r="G658" i="1" s="1"/>
  <c r="F650" i="1"/>
  <c r="G650" i="1" s="1"/>
  <c r="F642" i="1"/>
  <c r="G642" i="1" s="1"/>
  <c r="F634" i="1"/>
  <c r="G634" i="1" s="1"/>
  <c r="F626" i="1"/>
  <c r="G626" i="1" s="1"/>
  <c r="F618" i="1"/>
  <c r="G618" i="1" s="1"/>
  <c r="F610" i="1"/>
  <c r="F602" i="1"/>
  <c r="G602" i="1" s="1"/>
  <c r="F594" i="1"/>
  <c r="G594" i="1" s="1"/>
  <c r="F586" i="1"/>
  <c r="G586" i="1" s="1"/>
  <c r="F578" i="1"/>
  <c r="G578" i="1" s="1"/>
  <c r="F570" i="1"/>
  <c r="G570" i="1" s="1"/>
  <c r="F562" i="1"/>
  <c r="G562" i="1" s="1"/>
  <c r="F554" i="1"/>
  <c r="G554" i="1" s="1"/>
  <c r="F546" i="1"/>
  <c r="F538" i="1"/>
  <c r="G538" i="1" s="1"/>
  <c r="F530" i="1"/>
  <c r="G530" i="1" s="1"/>
  <c r="F522" i="1"/>
  <c r="G522" i="1" s="1"/>
  <c r="F514" i="1"/>
  <c r="G514" i="1" s="1"/>
  <c r="F506" i="1"/>
  <c r="G506" i="1" s="1"/>
  <c r="F498" i="1"/>
  <c r="G498" i="1" s="1"/>
  <c r="F490" i="1"/>
  <c r="G490" i="1" s="1"/>
  <c r="F482" i="1"/>
  <c r="F474" i="1"/>
  <c r="G474" i="1" s="1"/>
  <c r="F466" i="1"/>
  <c r="G466" i="1" s="1"/>
  <c r="F458" i="1"/>
  <c r="G458" i="1" s="1"/>
  <c r="F450" i="1"/>
  <c r="G450" i="1" s="1"/>
  <c r="F442" i="1"/>
  <c r="G442" i="1" s="1"/>
  <c r="F434" i="1"/>
  <c r="G434" i="1" s="1"/>
  <c r="F426" i="1"/>
  <c r="G426" i="1" s="1"/>
  <c r="F418" i="1"/>
  <c r="F410" i="1"/>
  <c r="G410" i="1" s="1"/>
  <c r="F402" i="1"/>
  <c r="G402" i="1" s="1"/>
  <c r="F394" i="1"/>
  <c r="G394" i="1" s="1"/>
  <c r="F386" i="1"/>
  <c r="G386" i="1" s="1"/>
  <c r="F1001" i="1"/>
  <c r="G1001" i="1" s="1"/>
  <c r="F993" i="1"/>
  <c r="G993" i="1" s="1"/>
  <c r="F985" i="1"/>
  <c r="G985" i="1" s="1"/>
  <c r="F977" i="1"/>
  <c r="G977" i="1" s="1"/>
  <c r="F969" i="1"/>
  <c r="G969" i="1" s="1"/>
  <c r="F961" i="1"/>
  <c r="G961" i="1" s="1"/>
  <c r="F953" i="1"/>
  <c r="G953" i="1" s="1"/>
  <c r="F945" i="1"/>
  <c r="G945" i="1" s="1"/>
  <c r="F937" i="1"/>
  <c r="G937" i="1" s="1"/>
  <c r="F929" i="1"/>
  <c r="G929" i="1" s="1"/>
  <c r="F921" i="1"/>
  <c r="G921" i="1" s="1"/>
  <c r="F913" i="1"/>
  <c r="G913" i="1" s="1"/>
  <c r="F905" i="1"/>
  <c r="G905" i="1" s="1"/>
  <c r="F897" i="1"/>
  <c r="G897" i="1" s="1"/>
  <c r="F889" i="1"/>
  <c r="G889" i="1" s="1"/>
  <c r="F881" i="1"/>
  <c r="G881" i="1" s="1"/>
  <c r="F873" i="1"/>
  <c r="G873" i="1" s="1"/>
  <c r="F865" i="1"/>
  <c r="G865" i="1" s="1"/>
  <c r="F857" i="1"/>
  <c r="G857" i="1" s="1"/>
  <c r="F849" i="1"/>
  <c r="G849" i="1" s="1"/>
  <c r="F841" i="1"/>
  <c r="G841" i="1" s="1"/>
  <c r="F833" i="1"/>
  <c r="G833" i="1" s="1"/>
  <c r="F825" i="1"/>
  <c r="G825" i="1" s="1"/>
  <c r="F817" i="1"/>
  <c r="G817" i="1" s="1"/>
  <c r="F809" i="1"/>
  <c r="G809" i="1" s="1"/>
  <c r="F801" i="1"/>
  <c r="G801" i="1" s="1"/>
  <c r="F793" i="1"/>
  <c r="G793" i="1" s="1"/>
  <c r="F785" i="1"/>
  <c r="G785" i="1" s="1"/>
  <c r="F777" i="1"/>
  <c r="G777" i="1" s="1"/>
  <c r="F769" i="1"/>
  <c r="G769" i="1" s="1"/>
  <c r="F761" i="1"/>
  <c r="G761" i="1" s="1"/>
  <c r="F753" i="1"/>
  <c r="G753" i="1" s="1"/>
  <c r="F745" i="1"/>
  <c r="G745" i="1" s="1"/>
  <c r="F737" i="1"/>
  <c r="G737" i="1" s="1"/>
  <c r="F729" i="1"/>
  <c r="G729" i="1" s="1"/>
  <c r="F721" i="1"/>
  <c r="G721" i="1" s="1"/>
  <c r="F713" i="1"/>
  <c r="G713" i="1" s="1"/>
  <c r="F705" i="1"/>
  <c r="G705" i="1" s="1"/>
  <c r="F697" i="1"/>
  <c r="G697" i="1" s="1"/>
  <c r="F689" i="1"/>
  <c r="G689" i="1" s="1"/>
  <c r="F681" i="1"/>
  <c r="F673" i="1"/>
  <c r="G673" i="1" s="1"/>
  <c r="F665" i="1"/>
  <c r="G665" i="1" s="1"/>
  <c r="F657" i="1"/>
  <c r="F649" i="1"/>
  <c r="G649" i="1" s="1"/>
  <c r="F641" i="1"/>
  <c r="G641" i="1" s="1"/>
  <c r="F633" i="1"/>
  <c r="F625" i="1"/>
  <c r="G625" i="1" s="1"/>
  <c r="F617" i="1"/>
  <c r="G617" i="1" s="1"/>
  <c r="F609" i="1"/>
  <c r="G609" i="1" s="1"/>
  <c r="F601" i="1"/>
  <c r="G601" i="1" s="1"/>
  <c r="F593" i="1"/>
  <c r="G593" i="1" s="1"/>
  <c r="F585" i="1"/>
  <c r="G585" i="1" s="1"/>
  <c r="F577" i="1"/>
  <c r="G577" i="1" s="1"/>
  <c r="F569" i="1"/>
  <c r="F561" i="1"/>
  <c r="G561" i="1" s="1"/>
  <c r="F553" i="1"/>
  <c r="G553" i="1" s="1"/>
  <c r="F545" i="1"/>
  <c r="G545" i="1" s="1"/>
  <c r="F537" i="1"/>
  <c r="G537" i="1" s="1"/>
  <c r="F529" i="1"/>
  <c r="G529" i="1" s="1"/>
  <c r="F521" i="1"/>
  <c r="G521" i="1" s="1"/>
  <c r="F513" i="1"/>
  <c r="G513" i="1" s="1"/>
  <c r="F505" i="1"/>
  <c r="F497" i="1"/>
  <c r="G497" i="1" s="1"/>
  <c r="F489" i="1"/>
  <c r="G489" i="1" s="1"/>
  <c r="F481" i="1"/>
  <c r="G481" i="1" s="1"/>
  <c r="F473" i="1"/>
  <c r="G473" i="1" s="1"/>
  <c r="F465" i="1"/>
  <c r="G465" i="1" s="1"/>
  <c r="F457" i="1"/>
  <c r="G457" i="1" s="1"/>
  <c r="F449" i="1"/>
  <c r="G449" i="1" s="1"/>
  <c r="F441" i="1"/>
  <c r="F433" i="1"/>
  <c r="G433" i="1" s="1"/>
  <c r="F425" i="1"/>
  <c r="G425" i="1" s="1"/>
  <c r="F417" i="1"/>
  <c r="G417" i="1" s="1"/>
  <c r="F409" i="1"/>
  <c r="G409" i="1" s="1"/>
  <c r="F401" i="1"/>
  <c r="G401" i="1" s="1"/>
  <c r="F393" i="1"/>
  <c r="G393" i="1" s="1"/>
  <c r="F385" i="1"/>
  <c r="G385" i="1" s="1"/>
  <c r="F377" i="1"/>
  <c r="F369" i="1"/>
  <c r="G369" i="1" s="1"/>
  <c r="F361" i="1"/>
  <c r="G361" i="1" s="1"/>
  <c r="F353" i="1"/>
  <c r="G353" i="1" s="1"/>
  <c r="F345" i="1"/>
  <c r="G345" i="1" s="1"/>
  <c r="F337" i="1"/>
  <c r="G337" i="1" s="1"/>
  <c r="F329" i="1"/>
  <c r="G329" i="1" s="1"/>
  <c r="F321" i="1"/>
  <c r="G321" i="1" s="1"/>
  <c r="F313" i="1"/>
  <c r="F305" i="1"/>
  <c r="G305" i="1" s="1"/>
  <c r="F297" i="1"/>
  <c r="G297" i="1" s="1"/>
  <c r="F289" i="1"/>
  <c r="G289" i="1" s="1"/>
  <c r="F1000" i="1"/>
  <c r="G1000" i="1" s="1"/>
  <c r="F992" i="1"/>
  <c r="G992" i="1" s="1"/>
  <c r="F984" i="1"/>
  <c r="G984" i="1" s="1"/>
  <c r="F976" i="1"/>
  <c r="G976" i="1" s="1"/>
  <c r="F968" i="1"/>
  <c r="G968" i="1" s="1"/>
  <c r="F960" i="1"/>
  <c r="G960" i="1" s="1"/>
  <c r="F952" i="1"/>
  <c r="G952" i="1" s="1"/>
  <c r="F944" i="1"/>
  <c r="G944" i="1" s="1"/>
  <c r="F936" i="1"/>
  <c r="G936" i="1" s="1"/>
  <c r="F928" i="1"/>
  <c r="G928" i="1" s="1"/>
  <c r="F920" i="1"/>
  <c r="G920" i="1" s="1"/>
  <c r="F912" i="1"/>
  <c r="G912" i="1" s="1"/>
  <c r="F904" i="1"/>
  <c r="G904" i="1" s="1"/>
  <c r="F896" i="1"/>
  <c r="G896" i="1" s="1"/>
  <c r="F888" i="1"/>
  <c r="G888" i="1" s="1"/>
  <c r="F880" i="1"/>
  <c r="G880" i="1" s="1"/>
  <c r="F872" i="1"/>
  <c r="G872" i="1" s="1"/>
  <c r="F864" i="1"/>
  <c r="G864" i="1" s="1"/>
  <c r="F856" i="1"/>
  <c r="G856" i="1" s="1"/>
  <c r="F848" i="1"/>
  <c r="G848" i="1" s="1"/>
  <c r="F840" i="1"/>
  <c r="G840" i="1" s="1"/>
  <c r="F832" i="1"/>
  <c r="G832" i="1" s="1"/>
  <c r="F824" i="1"/>
  <c r="G824" i="1" s="1"/>
  <c r="F816" i="1"/>
  <c r="G816" i="1" s="1"/>
  <c r="F808" i="1"/>
  <c r="G808" i="1" s="1"/>
  <c r="F800" i="1"/>
  <c r="G800" i="1" s="1"/>
  <c r="F792" i="1"/>
  <c r="G792" i="1" s="1"/>
  <c r="F784" i="1"/>
  <c r="G784" i="1" s="1"/>
  <c r="F776" i="1"/>
  <c r="G776" i="1" s="1"/>
  <c r="F768" i="1"/>
  <c r="G768" i="1" s="1"/>
  <c r="F760" i="1"/>
  <c r="G760" i="1" s="1"/>
  <c r="F752" i="1"/>
  <c r="G752" i="1" s="1"/>
  <c r="F744" i="1"/>
  <c r="G744" i="1" s="1"/>
  <c r="F736" i="1"/>
  <c r="G736" i="1" s="1"/>
  <c r="F728" i="1"/>
  <c r="G728" i="1" s="1"/>
  <c r="F720" i="1"/>
  <c r="G720" i="1" s="1"/>
  <c r="F712" i="1"/>
  <c r="G712" i="1" s="1"/>
  <c r="F704" i="1"/>
  <c r="G704" i="1" s="1"/>
  <c r="F696" i="1"/>
  <c r="G696" i="1" s="1"/>
  <c r="F688" i="1"/>
  <c r="G688" i="1" s="1"/>
  <c r="F680" i="1"/>
  <c r="G680" i="1" s="1"/>
  <c r="F672" i="1"/>
  <c r="G672" i="1" s="1"/>
  <c r="F664" i="1"/>
  <c r="G664" i="1" s="1"/>
  <c r="F656" i="1"/>
  <c r="G656" i="1" s="1"/>
  <c r="F648" i="1"/>
  <c r="G648" i="1" s="1"/>
  <c r="F640" i="1"/>
  <c r="G640" i="1" s="1"/>
  <c r="F632" i="1"/>
  <c r="G632" i="1" s="1"/>
  <c r="F624" i="1"/>
  <c r="G624" i="1" s="1"/>
  <c r="F616" i="1"/>
  <c r="G616" i="1" s="1"/>
  <c r="F608" i="1"/>
  <c r="G608" i="1" s="1"/>
  <c r="F600" i="1"/>
  <c r="G600" i="1" s="1"/>
  <c r="F592" i="1"/>
  <c r="G592" i="1" s="1"/>
  <c r="F584" i="1"/>
  <c r="G584" i="1" s="1"/>
  <c r="F576" i="1"/>
  <c r="G576" i="1" s="1"/>
  <c r="F568" i="1"/>
  <c r="G568" i="1" s="1"/>
  <c r="F560" i="1"/>
  <c r="G560" i="1" s="1"/>
  <c r="F552" i="1"/>
  <c r="G552" i="1" s="1"/>
  <c r="F544" i="1"/>
  <c r="G544" i="1" s="1"/>
  <c r="F536" i="1"/>
  <c r="G536" i="1" s="1"/>
  <c r="F528" i="1"/>
  <c r="G528" i="1" s="1"/>
  <c r="F520" i="1"/>
  <c r="G520" i="1" s="1"/>
  <c r="F512" i="1"/>
  <c r="G512" i="1" s="1"/>
  <c r="F504" i="1"/>
  <c r="G504" i="1" s="1"/>
  <c r="F496" i="1"/>
  <c r="G496" i="1" s="1"/>
  <c r="F488" i="1"/>
  <c r="G488" i="1" s="1"/>
  <c r="F480" i="1"/>
  <c r="G480" i="1" s="1"/>
  <c r="F472" i="1"/>
  <c r="G472" i="1" s="1"/>
  <c r="F464" i="1"/>
  <c r="G464" i="1" s="1"/>
  <c r="F456" i="1"/>
  <c r="G456" i="1" s="1"/>
  <c r="F448" i="1"/>
  <c r="G448" i="1" s="1"/>
  <c r="F440" i="1"/>
  <c r="G440" i="1" s="1"/>
  <c r="F432" i="1"/>
  <c r="G432" i="1" s="1"/>
  <c r="F424" i="1"/>
  <c r="G424" i="1" s="1"/>
  <c r="F416" i="1"/>
  <c r="G416" i="1" s="1"/>
  <c r="F408" i="1"/>
  <c r="G408" i="1" s="1"/>
  <c r="F400" i="1"/>
  <c r="G400" i="1" s="1"/>
  <c r="F392" i="1"/>
  <c r="G392" i="1" s="1"/>
  <c r="F384" i="1"/>
  <c r="G384" i="1" s="1"/>
  <c r="F376" i="1"/>
  <c r="G376" i="1" s="1"/>
  <c r="F368" i="1"/>
  <c r="G368" i="1" s="1"/>
  <c r="F360" i="1"/>
  <c r="G360" i="1" s="1"/>
  <c r="F352" i="1"/>
  <c r="G352" i="1" s="1"/>
  <c r="F344" i="1"/>
  <c r="G344" i="1" s="1"/>
  <c r="F336" i="1"/>
  <c r="G336" i="1" s="1"/>
  <c r="F328" i="1"/>
  <c r="G328" i="1" s="1"/>
  <c r="F320" i="1"/>
  <c r="G320" i="1" s="1"/>
  <c r="F312" i="1"/>
  <c r="G312" i="1" s="1"/>
  <c r="F304" i="1"/>
  <c r="G304" i="1" s="1"/>
  <c r="F296" i="1"/>
  <c r="G296" i="1" s="1"/>
  <c r="F288" i="1"/>
  <c r="G288" i="1" s="1"/>
  <c r="F998" i="1"/>
  <c r="G998" i="1" s="1"/>
  <c r="F990" i="1"/>
  <c r="G990" i="1" s="1"/>
  <c r="F982" i="1"/>
  <c r="G982" i="1" s="1"/>
  <c r="F974" i="1"/>
  <c r="G974" i="1" s="1"/>
  <c r="F966" i="1"/>
  <c r="G966" i="1" s="1"/>
  <c r="F958" i="1"/>
  <c r="G958" i="1" s="1"/>
  <c r="F950" i="1"/>
  <c r="G950" i="1" s="1"/>
  <c r="F942" i="1"/>
  <c r="G942" i="1" s="1"/>
  <c r="F934" i="1"/>
  <c r="G934" i="1" s="1"/>
  <c r="F926" i="1"/>
  <c r="G926" i="1" s="1"/>
  <c r="F918" i="1"/>
  <c r="G918" i="1" s="1"/>
  <c r="F910" i="1"/>
  <c r="G910" i="1" s="1"/>
  <c r="F902" i="1"/>
  <c r="G902" i="1" s="1"/>
  <c r="F894" i="1"/>
  <c r="G894" i="1" s="1"/>
  <c r="F886" i="1"/>
  <c r="G886" i="1" s="1"/>
  <c r="F878" i="1"/>
  <c r="G878" i="1" s="1"/>
  <c r="F870" i="1"/>
  <c r="G870" i="1" s="1"/>
  <c r="F862" i="1"/>
  <c r="G862" i="1" s="1"/>
  <c r="F854" i="1"/>
  <c r="G854" i="1" s="1"/>
  <c r="F846" i="1"/>
  <c r="G846" i="1" s="1"/>
  <c r="F838" i="1"/>
  <c r="G838" i="1" s="1"/>
  <c r="F830" i="1"/>
  <c r="G830" i="1" s="1"/>
  <c r="F822" i="1"/>
  <c r="G822" i="1" s="1"/>
  <c r="F814" i="1"/>
  <c r="G814" i="1" s="1"/>
  <c r="F806" i="1"/>
  <c r="G806" i="1" s="1"/>
  <c r="F798" i="1"/>
  <c r="G798" i="1" s="1"/>
  <c r="F790" i="1"/>
  <c r="G790" i="1" s="1"/>
  <c r="F782" i="1"/>
  <c r="G782" i="1" s="1"/>
  <c r="F774" i="1"/>
  <c r="G774" i="1" s="1"/>
  <c r="F766" i="1"/>
  <c r="G766" i="1" s="1"/>
  <c r="F758" i="1"/>
  <c r="G758" i="1" s="1"/>
  <c r="F750" i="1"/>
  <c r="G750" i="1" s="1"/>
  <c r="F742" i="1"/>
  <c r="G742" i="1" s="1"/>
  <c r="F734" i="1"/>
  <c r="G734" i="1" s="1"/>
  <c r="F726" i="1"/>
  <c r="G726" i="1" s="1"/>
  <c r="F718" i="1"/>
  <c r="G718" i="1" s="1"/>
  <c r="F710" i="1"/>
  <c r="G710" i="1" s="1"/>
  <c r="F702" i="1"/>
  <c r="G702" i="1" s="1"/>
  <c r="F694" i="1"/>
  <c r="G694" i="1" s="1"/>
  <c r="F686" i="1"/>
  <c r="G686" i="1" s="1"/>
  <c r="F678" i="1"/>
  <c r="G678" i="1" s="1"/>
  <c r="F670" i="1"/>
  <c r="G670" i="1" s="1"/>
  <c r="F662" i="1"/>
  <c r="G662" i="1" s="1"/>
  <c r="F654" i="1"/>
  <c r="G654" i="1" s="1"/>
  <c r="F646" i="1"/>
  <c r="G646" i="1" s="1"/>
  <c r="F638" i="1"/>
  <c r="G638" i="1" s="1"/>
  <c r="F630" i="1"/>
  <c r="G630" i="1" s="1"/>
  <c r="F622" i="1"/>
  <c r="G622" i="1" s="1"/>
  <c r="F614" i="1"/>
  <c r="G614" i="1" s="1"/>
  <c r="F606" i="1"/>
  <c r="G606" i="1" s="1"/>
  <c r="F598" i="1"/>
  <c r="G598" i="1" s="1"/>
  <c r="F590" i="1"/>
  <c r="G590" i="1" s="1"/>
  <c r="F582" i="1"/>
  <c r="G582" i="1" s="1"/>
  <c r="F574" i="1"/>
  <c r="G574" i="1" s="1"/>
  <c r="F566" i="1"/>
  <c r="G566" i="1" s="1"/>
  <c r="F558" i="1"/>
  <c r="G558" i="1" s="1"/>
  <c r="F550" i="1"/>
  <c r="G550" i="1" s="1"/>
  <c r="F542" i="1"/>
  <c r="G542" i="1" s="1"/>
  <c r="F534" i="1"/>
  <c r="G534" i="1" s="1"/>
  <c r="F526" i="1"/>
  <c r="G526" i="1" s="1"/>
  <c r="F518" i="1"/>
  <c r="G518" i="1" s="1"/>
  <c r="F510" i="1"/>
  <c r="G510" i="1" s="1"/>
  <c r="F502" i="1"/>
  <c r="G502" i="1" s="1"/>
  <c r="F494" i="1"/>
  <c r="G494" i="1" s="1"/>
  <c r="F486" i="1"/>
  <c r="G486" i="1" s="1"/>
  <c r="F478" i="1"/>
  <c r="G478" i="1" s="1"/>
  <c r="F470" i="1"/>
  <c r="G470" i="1" s="1"/>
  <c r="F462" i="1"/>
  <c r="G462" i="1" s="1"/>
  <c r="F454" i="1"/>
  <c r="G454" i="1" s="1"/>
  <c r="F446" i="1"/>
  <c r="G446" i="1" s="1"/>
  <c r="F438" i="1"/>
  <c r="G438" i="1" s="1"/>
  <c r="F430" i="1"/>
  <c r="G430" i="1" s="1"/>
  <c r="F422" i="1"/>
  <c r="G422" i="1" s="1"/>
  <c r="F414" i="1"/>
  <c r="G414" i="1" s="1"/>
  <c r="F406" i="1"/>
  <c r="G406" i="1" s="1"/>
  <c r="F398" i="1"/>
  <c r="G398" i="1" s="1"/>
  <c r="F997" i="1"/>
  <c r="G997" i="1" s="1"/>
  <c r="F989" i="1"/>
  <c r="G989" i="1" s="1"/>
  <c r="F981" i="1"/>
  <c r="G981" i="1" s="1"/>
  <c r="F973" i="1"/>
  <c r="G973" i="1" s="1"/>
  <c r="F965" i="1"/>
  <c r="G965" i="1" s="1"/>
  <c r="F957" i="1"/>
  <c r="G957" i="1" s="1"/>
  <c r="F949" i="1"/>
  <c r="G949" i="1" s="1"/>
  <c r="F941" i="1"/>
  <c r="G941" i="1" s="1"/>
  <c r="F933" i="1"/>
  <c r="G933" i="1" s="1"/>
  <c r="F925" i="1"/>
  <c r="G925" i="1" s="1"/>
  <c r="F917" i="1"/>
  <c r="G917" i="1" s="1"/>
  <c r="F909" i="1"/>
  <c r="G909" i="1" s="1"/>
  <c r="F901" i="1"/>
  <c r="G901" i="1" s="1"/>
  <c r="F893" i="1"/>
  <c r="G893" i="1" s="1"/>
  <c r="F885" i="1"/>
  <c r="G885" i="1" s="1"/>
  <c r="F877" i="1"/>
  <c r="G877" i="1" s="1"/>
  <c r="F869" i="1"/>
  <c r="G869" i="1" s="1"/>
  <c r="F861" i="1"/>
  <c r="G861" i="1" s="1"/>
  <c r="F853" i="1"/>
  <c r="G853" i="1" s="1"/>
  <c r="F845" i="1"/>
  <c r="G845" i="1" s="1"/>
  <c r="F837" i="1"/>
  <c r="G837" i="1" s="1"/>
  <c r="F829" i="1"/>
  <c r="G829" i="1" s="1"/>
  <c r="F821" i="1"/>
  <c r="G821" i="1" s="1"/>
  <c r="F813" i="1"/>
  <c r="G813" i="1" s="1"/>
  <c r="F805" i="1"/>
  <c r="G805" i="1" s="1"/>
  <c r="F797" i="1"/>
  <c r="G797" i="1" s="1"/>
  <c r="F789" i="1"/>
  <c r="G789" i="1" s="1"/>
  <c r="F781" i="1"/>
  <c r="G781" i="1" s="1"/>
  <c r="F773" i="1"/>
  <c r="G773" i="1" s="1"/>
  <c r="F765" i="1"/>
  <c r="G765" i="1" s="1"/>
  <c r="F757" i="1"/>
  <c r="G757" i="1" s="1"/>
  <c r="F749" i="1"/>
  <c r="G749" i="1" s="1"/>
  <c r="F741" i="1"/>
  <c r="G741" i="1" s="1"/>
  <c r="F733" i="1"/>
  <c r="G733" i="1" s="1"/>
  <c r="F725" i="1"/>
  <c r="G725" i="1" s="1"/>
  <c r="F717" i="1"/>
  <c r="G717" i="1" s="1"/>
  <c r="F709" i="1"/>
  <c r="G709" i="1" s="1"/>
  <c r="F701" i="1"/>
  <c r="G701" i="1" s="1"/>
  <c r="F693" i="1"/>
  <c r="G693" i="1" s="1"/>
  <c r="F685" i="1"/>
  <c r="G685" i="1" s="1"/>
  <c r="F677" i="1"/>
  <c r="G677" i="1" s="1"/>
  <c r="F669" i="1"/>
  <c r="G669" i="1" s="1"/>
  <c r="F661" i="1"/>
  <c r="G661" i="1" s="1"/>
  <c r="F653" i="1"/>
  <c r="G653" i="1" s="1"/>
  <c r="F645" i="1"/>
  <c r="G645" i="1" s="1"/>
  <c r="F637" i="1"/>
  <c r="G637" i="1" s="1"/>
  <c r="F629" i="1"/>
  <c r="G629" i="1" s="1"/>
  <c r="F621" i="1"/>
  <c r="G621" i="1" s="1"/>
  <c r="F613" i="1"/>
  <c r="G613" i="1" s="1"/>
  <c r="F605" i="1"/>
  <c r="G605" i="1" s="1"/>
  <c r="F597" i="1"/>
  <c r="G597" i="1" s="1"/>
  <c r="F589" i="1"/>
  <c r="G589" i="1" s="1"/>
  <c r="F581" i="1"/>
  <c r="G581" i="1" s="1"/>
  <c r="F573" i="1"/>
  <c r="G573" i="1" s="1"/>
  <c r="F565" i="1"/>
  <c r="G565" i="1" s="1"/>
  <c r="F557" i="1"/>
  <c r="G557" i="1" s="1"/>
  <c r="F549" i="1"/>
  <c r="G549" i="1" s="1"/>
  <c r="F541" i="1"/>
  <c r="G541" i="1" s="1"/>
  <c r="F533" i="1"/>
  <c r="G533" i="1" s="1"/>
  <c r="F525" i="1"/>
  <c r="G525" i="1" s="1"/>
  <c r="F517" i="1"/>
  <c r="G517" i="1" s="1"/>
  <c r="F509" i="1"/>
  <c r="G509" i="1" s="1"/>
  <c r="F501" i="1"/>
  <c r="G501" i="1" s="1"/>
  <c r="F493" i="1"/>
  <c r="G493" i="1" s="1"/>
  <c r="F485" i="1"/>
  <c r="G485" i="1" s="1"/>
  <c r="F477" i="1"/>
  <c r="G477" i="1" s="1"/>
  <c r="F469" i="1"/>
  <c r="G469" i="1" s="1"/>
  <c r="F461" i="1"/>
  <c r="G461" i="1" s="1"/>
  <c r="F453" i="1"/>
  <c r="G453" i="1" s="1"/>
  <c r="F445" i="1"/>
  <c r="G445" i="1" s="1"/>
  <c r="F437" i="1"/>
  <c r="G437" i="1" s="1"/>
  <c r="F429" i="1"/>
  <c r="G429" i="1" s="1"/>
  <c r="F421" i="1"/>
  <c r="G421" i="1" s="1"/>
  <c r="F413" i="1"/>
  <c r="G413" i="1" s="1"/>
  <c r="F405" i="1"/>
  <c r="G405" i="1" s="1"/>
  <c r="F397" i="1"/>
  <c r="G397" i="1" s="1"/>
  <c r="F389" i="1"/>
  <c r="G389" i="1" s="1"/>
  <c r="F381" i="1"/>
  <c r="G381" i="1" s="1"/>
  <c r="F373" i="1"/>
  <c r="G373" i="1" s="1"/>
  <c r="F365" i="1"/>
  <c r="G365" i="1" s="1"/>
  <c r="F357" i="1"/>
  <c r="G357" i="1" s="1"/>
  <c r="F349" i="1"/>
  <c r="G349" i="1" s="1"/>
  <c r="F341" i="1"/>
  <c r="G341" i="1" s="1"/>
  <c r="F333" i="1"/>
  <c r="G333" i="1" s="1"/>
  <c r="F325" i="1"/>
  <c r="G325" i="1" s="1"/>
  <c r="F317" i="1"/>
  <c r="G317" i="1" s="1"/>
  <c r="F309" i="1"/>
  <c r="G309" i="1" s="1"/>
  <c r="F301" i="1"/>
  <c r="G301" i="1" s="1"/>
  <c r="F293" i="1"/>
  <c r="G293" i="1" s="1"/>
  <c r="F285" i="1"/>
  <c r="G285" i="1" s="1"/>
  <c r="F277" i="1"/>
  <c r="G277" i="1" s="1"/>
  <c r="F269" i="1"/>
  <c r="G269" i="1" s="1"/>
  <c r="F863" i="1"/>
  <c r="G863" i="1" s="1"/>
  <c r="F855" i="1"/>
  <c r="G855" i="1" s="1"/>
  <c r="F847" i="1"/>
  <c r="G847" i="1" s="1"/>
  <c r="F839" i="1"/>
  <c r="G839" i="1" s="1"/>
  <c r="F831" i="1"/>
  <c r="G831" i="1" s="1"/>
  <c r="F823" i="1"/>
  <c r="G823" i="1" s="1"/>
  <c r="F815" i="1"/>
  <c r="G815" i="1" s="1"/>
  <c r="F807" i="1"/>
  <c r="G807" i="1" s="1"/>
  <c r="F799" i="1"/>
  <c r="G799" i="1" s="1"/>
  <c r="F791" i="1"/>
  <c r="G791" i="1" s="1"/>
  <c r="F783" i="1"/>
  <c r="G783" i="1" s="1"/>
  <c r="F775" i="1"/>
  <c r="G775" i="1" s="1"/>
  <c r="F767" i="1"/>
  <c r="G767" i="1" s="1"/>
  <c r="F759" i="1"/>
  <c r="G759" i="1" s="1"/>
  <c r="F751" i="1"/>
  <c r="G751" i="1" s="1"/>
  <c r="F743" i="1"/>
  <c r="G743" i="1" s="1"/>
  <c r="F735" i="1"/>
  <c r="G735" i="1" s="1"/>
  <c r="F727" i="1"/>
  <c r="G727" i="1" s="1"/>
  <c r="F719" i="1"/>
  <c r="G719" i="1" s="1"/>
  <c r="F711" i="1"/>
  <c r="G711" i="1" s="1"/>
  <c r="F703" i="1"/>
  <c r="G703" i="1" s="1"/>
  <c r="F695" i="1"/>
  <c r="G695" i="1" s="1"/>
  <c r="F687" i="1"/>
  <c r="G687" i="1" s="1"/>
  <c r="F679" i="1"/>
  <c r="G679" i="1" s="1"/>
  <c r="F663" i="1"/>
  <c r="G663" i="1" s="1"/>
  <c r="F647" i="1"/>
  <c r="G647" i="1" s="1"/>
  <c r="F631" i="1"/>
  <c r="G631" i="1" s="1"/>
  <c r="F615" i="1"/>
  <c r="G615" i="1" s="1"/>
  <c r="F599" i="1"/>
  <c r="G599" i="1" s="1"/>
  <c r="F583" i="1"/>
  <c r="G583" i="1" s="1"/>
  <c r="F567" i="1"/>
  <c r="G567" i="1" s="1"/>
  <c r="F551" i="1"/>
  <c r="G551" i="1" s="1"/>
  <c r="F535" i="1"/>
  <c r="G535" i="1" s="1"/>
  <c r="F519" i="1"/>
  <c r="G519" i="1" s="1"/>
  <c r="F503" i="1"/>
  <c r="G503" i="1" s="1"/>
  <c r="F487" i="1"/>
  <c r="G487" i="1" s="1"/>
  <c r="F471" i="1"/>
  <c r="F455" i="1"/>
  <c r="G455" i="1" s="1"/>
  <c r="F439" i="1"/>
  <c r="G439" i="1" s="1"/>
  <c r="F423" i="1"/>
  <c r="G423" i="1" s="1"/>
  <c r="F407" i="1"/>
  <c r="G407" i="1" s="1"/>
  <c r="F391" i="1"/>
  <c r="F375" i="1"/>
  <c r="G375" i="1" s="1"/>
  <c r="F359" i="1"/>
  <c r="G359" i="1" s="1"/>
  <c r="F343" i="1"/>
  <c r="F327" i="1"/>
  <c r="G327" i="1" s="1"/>
  <c r="F311" i="1"/>
  <c r="G311" i="1" s="1"/>
  <c r="F295" i="1"/>
  <c r="G295" i="1" s="1"/>
  <c r="F279" i="1"/>
  <c r="G279" i="1" s="1"/>
  <c r="F263" i="1"/>
  <c r="F247" i="1"/>
  <c r="G247" i="1" s="1"/>
  <c r="F231" i="1"/>
  <c r="G231" i="1" s="1"/>
  <c r="F215" i="1"/>
  <c r="F199" i="1"/>
  <c r="G199" i="1" s="1"/>
  <c r="F183" i="1"/>
  <c r="G183" i="1" s="1"/>
  <c r="F167" i="1"/>
  <c r="G167" i="1" s="1"/>
  <c r="F151" i="1"/>
  <c r="G151" i="1" s="1"/>
  <c r="F135" i="1"/>
  <c r="F119" i="1"/>
  <c r="G119" i="1" s="1"/>
  <c r="F103" i="1"/>
  <c r="G103" i="1" s="1"/>
  <c r="F87" i="1"/>
  <c r="F71" i="1"/>
  <c r="G71" i="1" s="1"/>
  <c r="F55" i="1"/>
  <c r="G55" i="1" s="1"/>
  <c r="F39" i="1"/>
  <c r="G39" i="1" s="1"/>
  <c r="F23" i="1"/>
  <c r="G23" i="1" s="1"/>
  <c r="F7" i="1"/>
  <c r="F390" i="1"/>
  <c r="G390" i="1" s="1"/>
  <c r="F382" i="1"/>
  <c r="G382" i="1" s="1"/>
  <c r="F374" i="1"/>
  <c r="G374" i="1" s="1"/>
  <c r="F366" i="1"/>
  <c r="G366" i="1" s="1"/>
  <c r="F358" i="1"/>
  <c r="G358" i="1" s="1"/>
  <c r="F350" i="1"/>
  <c r="G350" i="1" s="1"/>
  <c r="F342" i="1"/>
  <c r="G342" i="1" s="1"/>
  <c r="F334" i="1"/>
  <c r="G334" i="1" s="1"/>
  <c r="F326" i="1"/>
  <c r="G326" i="1" s="1"/>
  <c r="F318" i="1"/>
  <c r="G318" i="1" s="1"/>
  <c r="F310" i="1"/>
  <c r="G310" i="1" s="1"/>
  <c r="F302" i="1"/>
  <c r="G302" i="1" s="1"/>
  <c r="F294" i="1"/>
  <c r="G294" i="1" s="1"/>
  <c r="F286" i="1"/>
  <c r="G286" i="1" s="1"/>
  <c r="F278" i="1"/>
  <c r="G278" i="1" s="1"/>
  <c r="F270" i="1"/>
  <c r="G270" i="1" s="1"/>
  <c r="F262" i="1"/>
  <c r="G262" i="1" s="1"/>
  <c r="F254" i="1"/>
  <c r="G254" i="1" s="1"/>
  <c r="F246" i="1"/>
  <c r="G246" i="1" s="1"/>
  <c r="F238" i="1"/>
  <c r="G238" i="1" s="1"/>
  <c r="F230" i="1"/>
  <c r="G230" i="1" s="1"/>
  <c r="F222" i="1"/>
  <c r="G222" i="1" s="1"/>
  <c r="F214" i="1"/>
  <c r="G214" i="1" s="1"/>
  <c r="F206" i="1"/>
  <c r="G206" i="1" s="1"/>
  <c r="F198" i="1"/>
  <c r="G198" i="1" s="1"/>
  <c r="F190" i="1"/>
  <c r="G190" i="1" s="1"/>
  <c r="F182" i="1"/>
  <c r="G182" i="1" s="1"/>
  <c r="F174" i="1"/>
  <c r="G174" i="1" s="1"/>
  <c r="F166" i="1"/>
  <c r="G166" i="1" s="1"/>
  <c r="F158" i="1"/>
  <c r="G158" i="1" s="1"/>
  <c r="F150" i="1"/>
  <c r="G150" i="1" s="1"/>
  <c r="F142" i="1"/>
  <c r="G142" i="1" s="1"/>
  <c r="F134" i="1"/>
  <c r="G134" i="1" s="1"/>
  <c r="F126" i="1"/>
  <c r="G126" i="1" s="1"/>
  <c r="F118" i="1"/>
  <c r="G118" i="1" s="1"/>
  <c r="F110" i="1"/>
  <c r="G110" i="1" s="1"/>
  <c r="F102" i="1"/>
  <c r="G102" i="1" s="1"/>
  <c r="F94" i="1"/>
  <c r="G94" i="1" s="1"/>
  <c r="F86" i="1"/>
  <c r="G86" i="1" s="1"/>
  <c r="F78" i="1"/>
  <c r="G78" i="1" s="1"/>
  <c r="F70" i="1"/>
  <c r="G70" i="1" s="1"/>
  <c r="F62" i="1"/>
  <c r="G62" i="1" s="1"/>
  <c r="F54" i="1"/>
  <c r="G54" i="1" s="1"/>
  <c r="F46" i="1"/>
  <c r="G46" i="1" s="1"/>
  <c r="F38" i="1"/>
  <c r="G38" i="1" s="1"/>
  <c r="F30" i="1"/>
  <c r="G30" i="1" s="1"/>
  <c r="F22" i="1"/>
  <c r="G22" i="1" s="1"/>
  <c r="F14" i="1"/>
  <c r="G14" i="1" s="1"/>
  <c r="F6" i="1"/>
  <c r="G6" i="1" s="1"/>
  <c r="F253" i="1"/>
  <c r="G253" i="1" s="1"/>
  <c r="F201" i="1"/>
  <c r="G201" i="1" s="1"/>
  <c r="F316" i="1"/>
  <c r="G316" i="1" s="1"/>
  <c r="F300" i="1"/>
  <c r="G300" i="1" s="1"/>
  <c r="F284" i="1"/>
  <c r="G284" i="1" s="1"/>
  <c r="F268" i="1"/>
  <c r="G268" i="1" s="1"/>
  <c r="F252" i="1"/>
  <c r="G252" i="1" s="1"/>
  <c r="F236" i="1"/>
  <c r="G236" i="1" s="1"/>
  <c r="F220" i="1"/>
  <c r="G220" i="1" s="1"/>
  <c r="F204" i="1"/>
  <c r="G204" i="1" s="1"/>
  <c r="F188" i="1"/>
  <c r="G188" i="1" s="1"/>
  <c r="F172" i="1"/>
  <c r="G172" i="1" s="1"/>
  <c r="F156" i="1"/>
  <c r="G156" i="1" s="1"/>
  <c r="F140" i="1"/>
  <c r="G140" i="1" s="1"/>
  <c r="F124" i="1"/>
  <c r="G124" i="1" s="1"/>
  <c r="F108" i="1"/>
  <c r="G108" i="1" s="1"/>
  <c r="F92" i="1"/>
  <c r="G92" i="1" s="1"/>
  <c r="F76" i="1"/>
  <c r="G76" i="1" s="1"/>
  <c r="F60" i="1"/>
  <c r="G60" i="1" s="1"/>
  <c r="F44" i="1"/>
  <c r="G44" i="1" s="1"/>
  <c r="F28" i="1"/>
  <c r="G28" i="1" s="1"/>
  <c r="F12" i="1"/>
  <c r="G12" i="1" s="1"/>
  <c r="F851" i="1"/>
  <c r="G851" i="1" s="1"/>
  <c r="F843" i="1"/>
  <c r="G843" i="1" s="1"/>
  <c r="F835" i="1"/>
  <c r="G835" i="1" s="1"/>
  <c r="F827" i="1"/>
  <c r="G827" i="1" s="1"/>
  <c r="F819" i="1"/>
  <c r="G819" i="1" s="1"/>
  <c r="F811" i="1"/>
  <c r="G811" i="1" s="1"/>
  <c r="F803" i="1"/>
  <c r="G803" i="1" s="1"/>
  <c r="F795" i="1"/>
  <c r="G795" i="1" s="1"/>
  <c r="F787" i="1"/>
  <c r="G787" i="1" s="1"/>
  <c r="F779" i="1"/>
  <c r="G779" i="1" s="1"/>
  <c r="F771" i="1"/>
  <c r="G771" i="1" s="1"/>
  <c r="F763" i="1"/>
  <c r="G763" i="1" s="1"/>
  <c r="F755" i="1"/>
  <c r="G755" i="1" s="1"/>
  <c r="F747" i="1"/>
  <c r="G747" i="1" s="1"/>
  <c r="F739" i="1"/>
  <c r="G739" i="1" s="1"/>
  <c r="F731" i="1"/>
  <c r="G731" i="1" s="1"/>
  <c r="F723" i="1"/>
  <c r="G723" i="1" s="1"/>
  <c r="F715" i="1"/>
  <c r="G715" i="1" s="1"/>
  <c r="F707" i="1"/>
  <c r="G707" i="1" s="1"/>
  <c r="F699" i="1"/>
  <c r="G699" i="1" s="1"/>
  <c r="F691" i="1"/>
  <c r="G691" i="1" s="1"/>
  <c r="F683" i="1"/>
  <c r="G683" i="1" s="1"/>
  <c r="F132" i="1"/>
  <c r="G132" i="1" s="1"/>
  <c r="F378" i="1"/>
  <c r="G378" i="1" s="1"/>
  <c r="F370" i="1"/>
  <c r="G370" i="1" s="1"/>
  <c r="F362" i="1"/>
  <c r="G362" i="1" s="1"/>
  <c r="F354" i="1"/>
  <c r="G354" i="1" s="1"/>
  <c r="F346" i="1"/>
  <c r="G346" i="1" s="1"/>
  <c r="F338" i="1"/>
  <c r="G338" i="1" s="1"/>
  <c r="F330" i="1"/>
  <c r="G330" i="1" s="1"/>
  <c r="F322" i="1"/>
  <c r="G322" i="1" s="1"/>
  <c r="F314" i="1"/>
  <c r="G314" i="1" s="1"/>
  <c r="F306" i="1"/>
  <c r="G306" i="1" s="1"/>
  <c r="F298" i="1"/>
  <c r="G298" i="1" s="1"/>
  <c r="F290" i="1"/>
  <c r="G290" i="1" s="1"/>
  <c r="F282" i="1"/>
  <c r="G282" i="1" s="1"/>
  <c r="F274" i="1"/>
  <c r="G274" i="1" s="1"/>
  <c r="F266" i="1"/>
  <c r="G266" i="1" s="1"/>
  <c r="F258" i="1"/>
  <c r="G258" i="1" s="1"/>
  <c r="F250" i="1"/>
  <c r="G250" i="1" s="1"/>
  <c r="F242" i="1"/>
  <c r="G242" i="1" s="1"/>
  <c r="F234" i="1"/>
  <c r="G234" i="1" s="1"/>
  <c r="F226" i="1"/>
  <c r="G226" i="1" s="1"/>
  <c r="F218" i="1"/>
  <c r="G218" i="1" s="1"/>
  <c r="F210" i="1"/>
  <c r="G210" i="1" s="1"/>
  <c r="F202" i="1"/>
  <c r="G202" i="1" s="1"/>
  <c r="F194" i="1"/>
  <c r="G194" i="1" s="1"/>
  <c r="F186" i="1"/>
  <c r="G186" i="1" s="1"/>
  <c r="F178" i="1"/>
  <c r="G178" i="1" s="1"/>
  <c r="F170" i="1"/>
  <c r="G170" i="1" s="1"/>
  <c r="F162" i="1"/>
  <c r="G162" i="1" s="1"/>
  <c r="F154" i="1"/>
  <c r="G154" i="1" s="1"/>
  <c r="F146" i="1"/>
  <c r="G146" i="1" s="1"/>
  <c r="F138" i="1"/>
  <c r="G138" i="1" s="1"/>
  <c r="F130" i="1"/>
  <c r="G130" i="1" s="1"/>
  <c r="F122" i="1"/>
  <c r="G122" i="1" s="1"/>
  <c r="F114" i="1"/>
  <c r="G114" i="1" s="1"/>
  <c r="F106" i="1"/>
  <c r="G106" i="1" s="1"/>
  <c r="F98" i="1"/>
  <c r="G98" i="1" s="1"/>
  <c r="F90" i="1"/>
  <c r="G90" i="1" s="1"/>
  <c r="F82" i="1"/>
  <c r="G82" i="1" s="1"/>
  <c r="F74" i="1"/>
  <c r="G74" i="1" s="1"/>
  <c r="F66" i="1"/>
  <c r="G66" i="1" s="1"/>
  <c r="F58" i="1"/>
  <c r="G58" i="1" s="1"/>
  <c r="F50" i="1"/>
  <c r="G50" i="1" s="1"/>
  <c r="F42" i="1"/>
  <c r="G42" i="1" s="1"/>
  <c r="F34" i="1"/>
  <c r="G34" i="1" s="1"/>
  <c r="F26" i="1"/>
  <c r="G26" i="1" s="1"/>
  <c r="F18" i="1"/>
  <c r="G18" i="1" s="1"/>
  <c r="F10" i="1"/>
  <c r="G10" i="1" s="1"/>
  <c r="F273" i="1"/>
  <c r="G273" i="1" s="1"/>
  <c r="F257" i="1"/>
  <c r="G257" i="1" s="1"/>
  <c r="F241" i="1"/>
  <c r="G241" i="1" s="1"/>
  <c r="F225" i="1"/>
  <c r="G225" i="1" s="1"/>
  <c r="F209" i="1"/>
  <c r="G209" i="1" s="1"/>
  <c r="F193" i="1"/>
  <c r="G193" i="1" s="1"/>
  <c r="F177" i="1"/>
  <c r="G177" i="1" s="1"/>
  <c r="F161" i="1"/>
  <c r="G161" i="1" s="1"/>
  <c r="F145" i="1"/>
  <c r="G145" i="1" s="1"/>
  <c r="F129" i="1"/>
  <c r="G129" i="1" s="1"/>
  <c r="F113" i="1"/>
  <c r="G113" i="1" s="1"/>
  <c r="F97" i="1"/>
  <c r="G97" i="1" s="1"/>
  <c r="F81" i="1"/>
  <c r="G81" i="1" s="1"/>
  <c r="F65" i="1"/>
  <c r="G65" i="1" s="1"/>
  <c r="F49" i="1"/>
  <c r="G49" i="1" s="1"/>
  <c r="F33" i="1"/>
  <c r="G33" i="1" s="1"/>
  <c r="F17" i="1"/>
  <c r="G17" i="1" s="1"/>
  <c r="G2" i="1"/>
  <c r="C755" i="1"/>
  <c r="D755" i="1" s="1"/>
  <c r="N4" i="1"/>
  <c r="C48" i="1"/>
  <c r="D48" i="1" s="1"/>
  <c r="E481" i="4" l="1"/>
  <c r="D481" i="4"/>
  <c r="I2" i="2"/>
  <c r="I16" i="2" s="1"/>
  <c r="I17" i="2" s="1"/>
  <c r="N5" i="1"/>
  <c r="C895" i="1" s="1"/>
  <c r="D895" i="1" s="1"/>
  <c r="C134" i="1"/>
  <c r="D134" i="1" s="1"/>
  <c r="C124" i="1"/>
  <c r="D124" i="1" s="1"/>
  <c r="C644" i="1"/>
  <c r="D644" i="1" s="1"/>
  <c r="C497" i="1"/>
  <c r="D497" i="1" s="1"/>
  <c r="C696" i="1"/>
  <c r="D696" i="1" s="1"/>
  <c r="C925" i="1"/>
  <c r="D925" i="1" s="1"/>
  <c r="C934" i="1"/>
  <c r="D934" i="1" s="1"/>
  <c r="C913" i="1"/>
  <c r="D913" i="1" s="1"/>
  <c r="C972" i="1"/>
  <c r="D972" i="1" s="1"/>
  <c r="C988" i="1"/>
  <c r="D988" i="1" s="1"/>
  <c r="C902" i="1"/>
  <c r="D902" i="1" s="1"/>
  <c r="E482" i="4" l="1"/>
  <c r="L11" i="4" s="1"/>
  <c r="D482" i="4"/>
  <c r="N6" i="1"/>
  <c r="C17" i="1" s="1"/>
  <c r="D17" i="1" s="1"/>
  <c r="N7" i="1" l="1"/>
  <c r="C830" i="1"/>
  <c r="D830" i="1" s="1"/>
  <c r="C378" i="1"/>
  <c r="D378" i="1" s="1"/>
  <c r="C364" i="1"/>
  <c r="D364" i="1" s="1"/>
  <c r="C685" i="1"/>
  <c r="D685" i="1" s="1"/>
  <c r="C793" i="1"/>
  <c r="D793" i="1" s="1"/>
  <c r="C479" i="1"/>
  <c r="D479" i="1" s="1"/>
  <c r="C433" i="1"/>
  <c r="D433" i="1" s="1"/>
  <c r="C952" i="1"/>
  <c r="D952" i="1" s="1"/>
  <c r="C435" i="1"/>
  <c r="D435" i="1" s="1"/>
  <c r="N8" i="1" l="1"/>
  <c r="N9" i="1" l="1"/>
  <c r="C138" i="1"/>
  <c r="D138" i="1" s="1"/>
  <c r="C475" i="1"/>
  <c r="D475" i="1" s="1"/>
  <c r="C917" i="1"/>
  <c r="D917" i="1" s="1"/>
  <c r="C188" i="1"/>
  <c r="D188" i="1" s="1"/>
  <c r="C742" i="1"/>
  <c r="D742" i="1" s="1"/>
  <c r="C948" i="1"/>
  <c r="D948" i="1" s="1"/>
  <c r="C496" i="1"/>
  <c r="D496" i="1" s="1"/>
  <c r="C936" i="1"/>
  <c r="D936" i="1" s="1"/>
  <c r="C978" i="1"/>
  <c r="D978" i="1" s="1"/>
  <c r="C157" i="1"/>
  <c r="D157" i="1" s="1"/>
  <c r="C246" i="1"/>
  <c r="D246" i="1" s="1"/>
  <c r="N10" i="1" l="1"/>
  <c r="N11" i="1" l="1"/>
  <c r="C476" i="1"/>
  <c r="D476" i="1" s="1"/>
  <c r="C149" i="1"/>
  <c r="D149" i="1" s="1"/>
  <c r="C362" i="1"/>
  <c r="D362" i="1" s="1"/>
  <c r="C954" i="1"/>
  <c r="D954" i="1" s="1"/>
  <c r="C11" i="1"/>
  <c r="D11" i="1" s="1"/>
  <c r="C132" i="1"/>
  <c r="D132" i="1" s="1"/>
  <c r="C690" i="1"/>
  <c r="D690" i="1" s="1"/>
  <c r="C785" i="1"/>
  <c r="D785" i="1" s="1"/>
  <c r="C161" i="1"/>
  <c r="D161" i="1" s="1"/>
  <c r="C734" i="1"/>
  <c r="D734" i="1" s="1"/>
  <c r="C248" i="1"/>
  <c r="D248" i="1" s="1"/>
  <c r="C184" i="1" l="1"/>
  <c r="D184" i="1" s="1"/>
  <c r="N12" i="1"/>
  <c r="N13" i="1" l="1"/>
  <c r="N14" i="1" s="1"/>
  <c r="N15" i="1" s="1"/>
  <c r="N16" i="1" s="1"/>
  <c r="N17" i="1" s="1"/>
  <c r="N18" i="1" s="1"/>
  <c r="N19" i="1" s="1"/>
  <c r="N20" i="1" s="1"/>
  <c r="N21" i="1" s="1"/>
  <c r="N22" i="1" s="1"/>
  <c r="N23" i="1" s="1"/>
  <c r="N24" i="1" s="1"/>
  <c r="N25" i="1" s="1"/>
  <c r="N26" i="1" s="1"/>
  <c r="N27" i="1" s="1"/>
  <c r="N28" i="1" s="1"/>
  <c r="N29" i="1" s="1"/>
  <c r="N30" i="1" s="1"/>
  <c r="N31" i="1" s="1"/>
  <c r="N32" i="1" s="1"/>
  <c r="N33" i="1" s="1"/>
  <c r="N34" i="1" s="1"/>
  <c r="N35" i="1" s="1"/>
  <c r="N36" i="1" s="1"/>
  <c r="N37" i="1" s="1"/>
  <c r="N38" i="1" s="1"/>
  <c r="N39" i="1" s="1"/>
  <c r="N40" i="1" s="1"/>
  <c r="N41" i="1" s="1"/>
  <c r="N42" i="1" s="1"/>
  <c r="N43" i="1" s="1"/>
  <c r="N44" i="1" s="1"/>
  <c r="N45" i="1" s="1"/>
  <c r="N46" i="1" s="1"/>
  <c r="N47" i="1" s="1"/>
  <c r="N48" i="1" s="1"/>
  <c r="N49" i="1" s="1"/>
  <c r="N50" i="1" s="1"/>
  <c r="N51" i="1" s="1"/>
  <c r="N52" i="1" s="1"/>
  <c r="N53" i="1" s="1"/>
  <c r="N54" i="1" s="1"/>
  <c r="N55" i="1" s="1"/>
  <c r="N56" i="1" s="1"/>
  <c r="N57" i="1" s="1"/>
  <c r="N58" i="1" s="1"/>
  <c r="N59" i="1" s="1"/>
  <c r="N60" i="1" s="1"/>
  <c r="N61" i="1" s="1"/>
  <c r="N62" i="1" s="1"/>
  <c r="N63" i="1" s="1"/>
  <c r="N64" i="1" s="1"/>
  <c r="N65" i="1" s="1"/>
  <c r="N66" i="1" s="1"/>
  <c r="N67" i="1" s="1"/>
  <c r="N68" i="1" s="1"/>
  <c r="N69" i="1" s="1"/>
  <c r="N70" i="1" s="1"/>
  <c r="N71" i="1" s="1"/>
  <c r="N72" i="1" s="1"/>
  <c r="N73" i="1" s="1"/>
  <c r="N74" i="1" s="1"/>
  <c r="N75" i="1" s="1"/>
  <c r="N76" i="1" s="1"/>
  <c r="N77" i="1" s="1"/>
  <c r="N78" i="1" s="1"/>
  <c r="N79" i="1" s="1"/>
  <c r="N80" i="1" s="1"/>
  <c r="N81" i="1" s="1"/>
  <c r="N82" i="1" s="1"/>
  <c r="N83" i="1" s="1"/>
  <c r="N84" i="1" s="1"/>
  <c r="N85" i="1" s="1"/>
  <c r="N86" i="1" s="1"/>
  <c r="N87" i="1" s="1"/>
  <c r="N88" i="1" s="1"/>
  <c r="N89" i="1" s="1"/>
  <c r="N90" i="1" s="1"/>
  <c r="N91" i="1" s="1"/>
  <c r="N92" i="1" s="1"/>
  <c r="N93" i="1" s="1"/>
  <c r="N94" i="1" s="1"/>
  <c r="N95" i="1" s="1"/>
  <c r="N96" i="1" s="1"/>
  <c r="N97" i="1" s="1"/>
  <c r="N98" i="1" s="1"/>
  <c r="N99" i="1" s="1"/>
  <c r="N100" i="1" s="1"/>
  <c r="N101" i="1" s="1"/>
  <c r="N102" i="1" s="1"/>
  <c r="N103" i="1" s="1"/>
  <c r="N104" i="1" s="1"/>
  <c r="N105" i="1" s="1"/>
  <c r="N106" i="1" s="1"/>
  <c r="N107" i="1" s="1"/>
  <c r="N108" i="1" s="1"/>
  <c r="N109" i="1" s="1"/>
  <c r="N110" i="1" s="1"/>
  <c r="N111" i="1" s="1"/>
  <c r="N112" i="1" s="1"/>
  <c r="N113" i="1" s="1"/>
  <c r="N114" i="1" s="1"/>
  <c r="N115" i="1" s="1"/>
  <c r="N116" i="1" s="1"/>
  <c r="N117" i="1" s="1"/>
  <c r="N118" i="1" s="1"/>
  <c r="N119" i="1" s="1"/>
  <c r="N120" i="1" s="1"/>
  <c r="N121" i="1" s="1"/>
  <c r="N122" i="1" s="1"/>
  <c r="N123" i="1" s="1"/>
  <c r="N124" i="1" s="1"/>
  <c r="N125" i="1" s="1"/>
  <c r="N126" i="1" s="1"/>
  <c r="N127" i="1" s="1"/>
  <c r="N128" i="1" s="1"/>
  <c r="N129" i="1" s="1"/>
  <c r="N130" i="1" s="1"/>
  <c r="N131" i="1" s="1"/>
  <c r="N132" i="1" s="1"/>
  <c r="N133" i="1" s="1"/>
  <c r="N134" i="1" s="1"/>
  <c r="N135" i="1" s="1"/>
  <c r="N136" i="1" s="1"/>
  <c r="N137" i="1" s="1"/>
  <c r="N138" i="1" s="1"/>
  <c r="N139" i="1" s="1"/>
  <c r="N140" i="1" s="1"/>
  <c r="N141" i="1" s="1"/>
  <c r="N142" i="1" s="1"/>
  <c r="N143" i="1" s="1"/>
  <c r="N144" i="1" s="1"/>
  <c r="N145" i="1" s="1"/>
  <c r="N146" i="1" s="1"/>
  <c r="N147" i="1" s="1"/>
  <c r="N148" i="1" s="1"/>
  <c r="N149" i="1" s="1"/>
  <c r="N150" i="1" s="1"/>
  <c r="N151" i="1" s="1"/>
  <c r="N152" i="1" s="1"/>
  <c r="N153" i="1" s="1"/>
  <c r="N154" i="1" s="1"/>
  <c r="N155" i="1" s="1"/>
  <c r="N156" i="1" s="1"/>
  <c r="N157" i="1" s="1"/>
  <c r="N158" i="1" s="1"/>
  <c r="N159" i="1" s="1"/>
  <c r="N160" i="1" s="1"/>
  <c r="N161" i="1" s="1"/>
  <c r="N162" i="1" s="1"/>
  <c r="N163" i="1" s="1"/>
  <c r="N164" i="1" s="1"/>
  <c r="N165" i="1" s="1"/>
  <c r="N166" i="1" s="1"/>
  <c r="N167" i="1" s="1"/>
  <c r="N168" i="1" s="1"/>
  <c r="N169" i="1" s="1"/>
  <c r="N170" i="1" s="1"/>
  <c r="N171" i="1" s="1"/>
  <c r="N172" i="1" s="1"/>
  <c r="N173" i="1" s="1"/>
  <c r="N174" i="1" s="1"/>
  <c r="N175" i="1" s="1"/>
  <c r="N176" i="1" s="1"/>
  <c r="N177" i="1" s="1"/>
  <c r="N178" i="1" s="1"/>
  <c r="N179" i="1" s="1"/>
  <c r="N180" i="1" s="1"/>
  <c r="N181" i="1" s="1"/>
  <c r="N182" i="1" s="1"/>
  <c r="N183" i="1" s="1"/>
  <c r="N184" i="1" s="1"/>
  <c r="N185" i="1" s="1"/>
  <c r="N186" i="1" s="1"/>
  <c r="N187" i="1" s="1"/>
  <c r="N188" i="1" s="1"/>
  <c r="N189" i="1" s="1"/>
  <c r="N190" i="1" s="1"/>
  <c r="N191" i="1" s="1"/>
  <c r="N192" i="1" s="1"/>
  <c r="N193" i="1" s="1"/>
  <c r="N194" i="1" s="1"/>
  <c r="N195" i="1" s="1"/>
  <c r="N196" i="1" s="1"/>
  <c r="N197" i="1" s="1"/>
  <c r="N198" i="1" s="1"/>
  <c r="N199" i="1" s="1"/>
  <c r="N200" i="1" s="1"/>
  <c r="N201" i="1" s="1"/>
  <c r="N202" i="1" s="1"/>
  <c r="C406" i="1" s="1"/>
  <c r="D406" i="1" s="1"/>
  <c r="C750" i="1"/>
  <c r="D750" i="1" s="1"/>
  <c r="C30" i="1"/>
  <c r="D30" i="1" s="1"/>
  <c r="C970" i="1"/>
  <c r="D970" i="1" s="1"/>
  <c r="C389" i="1"/>
  <c r="D389" i="1" s="1"/>
  <c r="C615" i="1"/>
  <c r="D615" i="1" s="1"/>
  <c r="C512" i="1"/>
  <c r="D512" i="1" s="1"/>
  <c r="C65" i="1"/>
  <c r="D65" i="1" s="1"/>
  <c r="C818" i="1"/>
  <c r="D818" i="1" s="1"/>
  <c r="C689" i="1"/>
  <c r="D689" i="1" s="1"/>
  <c r="C935" i="1"/>
  <c r="D935" i="1" s="1"/>
  <c r="C904" i="1"/>
  <c r="D904" i="1" s="1"/>
  <c r="C738" i="1"/>
  <c r="D738" i="1" s="1"/>
  <c r="C120" i="1"/>
  <c r="D120" i="1" s="1"/>
  <c r="C713" i="1"/>
  <c r="D713" i="1" s="1"/>
  <c r="C969" i="1"/>
  <c r="D969" i="1" s="1"/>
  <c r="C376" i="1"/>
  <c r="D376" i="1" s="1"/>
  <c r="C730" i="1"/>
  <c r="D730" i="1" s="1"/>
  <c r="C518" i="1"/>
  <c r="D518" i="1" s="1"/>
  <c r="C946" i="1"/>
  <c r="D946" i="1" s="1"/>
  <c r="C446" i="1"/>
  <c r="D446" i="1" s="1"/>
  <c r="C162" i="1"/>
  <c r="D162" i="1" s="1"/>
  <c r="C810" i="1"/>
  <c r="D810" i="1" s="1"/>
  <c r="C866" i="1"/>
  <c r="D866" i="1" s="1"/>
  <c r="C169" i="1"/>
  <c r="D169" i="1" s="1"/>
  <c r="C499" i="1"/>
  <c r="D499" i="1" s="1"/>
  <c r="C604" i="1"/>
  <c r="D604" i="1" s="1"/>
  <c r="C336" i="1"/>
  <c r="D336" i="1" s="1"/>
  <c r="C542" i="1"/>
  <c r="D542" i="1" s="1"/>
  <c r="C338" i="1"/>
  <c r="D338" i="1" s="1"/>
  <c r="C840" i="1"/>
  <c r="D840" i="1" s="1"/>
  <c r="C444" i="1"/>
  <c r="D444" i="1" s="1"/>
  <c r="C968" i="1"/>
  <c r="D968" i="1" s="1"/>
  <c r="C943" i="1"/>
  <c r="D943" i="1" s="1"/>
  <c r="C924" i="1"/>
  <c r="D924" i="1" s="1"/>
  <c r="C210" i="1"/>
  <c r="D210" i="1" s="1"/>
  <c r="C528" i="1"/>
  <c r="D528" i="1" s="1"/>
  <c r="C506" i="1"/>
  <c r="D506" i="1" s="1"/>
  <c r="C537" i="1"/>
  <c r="D537" i="1" s="1"/>
  <c r="C282" i="1"/>
  <c r="D282" i="1" s="1"/>
  <c r="C735" i="1"/>
  <c r="D735" i="1" s="1"/>
  <c r="C623" i="1"/>
  <c r="D623" i="1" s="1"/>
  <c r="C683" i="1"/>
  <c r="D683" i="1" s="1"/>
  <c r="C151" i="1"/>
  <c r="D151" i="1" s="1"/>
  <c r="C87" i="1"/>
  <c r="D87" i="1" s="1"/>
  <c r="C682" i="1"/>
  <c r="D682" i="1" s="1"/>
  <c r="C966" i="1"/>
  <c r="D966" i="1" s="1"/>
  <c r="C153" i="1"/>
  <c r="D153" i="1" s="1"/>
  <c r="C661" i="1"/>
  <c r="D661" i="1" s="1"/>
  <c r="C898" i="1"/>
  <c r="D898" i="1" s="1"/>
  <c r="C257" i="1"/>
  <c r="D257" i="1" s="1"/>
  <c r="C692" i="1"/>
  <c r="D692" i="1" s="1"/>
  <c r="C751" i="1"/>
  <c r="D751" i="1" s="1"/>
  <c r="C263" i="1"/>
  <c r="D263" i="1" s="1"/>
  <c r="C825" i="1"/>
  <c r="D825" i="1" s="1"/>
  <c r="C709" i="1"/>
  <c r="D709" i="1" s="1"/>
  <c r="C401" i="1"/>
  <c r="D401" i="1" s="1"/>
  <c r="C764" i="1"/>
  <c r="D764" i="1" s="1"/>
  <c r="C838" i="1"/>
  <c r="D838" i="1" s="1"/>
  <c r="C273" i="1"/>
  <c r="D273" i="1" s="1"/>
  <c r="C773" i="1"/>
  <c r="D773" i="1" s="1"/>
  <c r="C612" i="1"/>
  <c r="D612" i="1" s="1"/>
  <c r="C190" i="1"/>
  <c r="D190" i="1" s="1"/>
  <c r="C863" i="1"/>
  <c r="D863" i="1" s="1"/>
  <c r="C605" i="1"/>
  <c r="D605" i="1" s="1"/>
  <c r="C207" i="1"/>
  <c r="D207" i="1" s="1"/>
  <c r="C947" i="1"/>
  <c r="D947" i="1" s="1"/>
  <c r="C253" i="1"/>
  <c r="D253" i="1" s="1"/>
  <c r="C201" i="1"/>
  <c r="D201" i="1" s="1"/>
  <c r="C621" i="1"/>
  <c r="D621" i="1" s="1"/>
  <c r="C60" i="1"/>
  <c r="D60" i="1" s="1"/>
  <c r="C167" i="1"/>
  <c r="D167" i="1" s="1"/>
  <c r="C958" i="1"/>
  <c r="D958" i="1" s="1"/>
  <c r="C928" i="1"/>
  <c r="D928" i="1" s="1"/>
  <c r="C771" i="1"/>
  <c r="D771" i="1" s="1"/>
  <c r="C332" i="1"/>
  <c r="D332" i="1" s="1"/>
  <c r="C426" i="1"/>
  <c r="D426" i="1" s="1"/>
  <c r="C714" i="1"/>
  <c r="D714" i="1" s="1"/>
  <c r="C668" i="1"/>
  <c r="D668" i="1" s="1"/>
  <c r="C569" i="1"/>
  <c r="D569" i="1" s="1"/>
  <c r="C447" i="1"/>
  <c r="D447" i="1" s="1"/>
  <c r="C481" i="1"/>
  <c r="D481" i="1" s="1"/>
  <c r="C72" i="1"/>
  <c r="D72" i="1" s="1"/>
  <c r="C618" i="1"/>
  <c r="D618" i="1" s="1"/>
  <c r="C824" i="1"/>
  <c r="D824" i="1" s="1"/>
  <c r="C887" i="1"/>
  <c r="D887" i="1" s="1"/>
  <c r="C857" i="1"/>
  <c r="D857" i="1" s="1"/>
  <c r="C283" i="1"/>
  <c r="D283" i="1" s="1"/>
  <c r="C894" i="1"/>
  <c r="D894" i="1" s="1"/>
  <c r="C9" i="1"/>
  <c r="D9" i="1" s="1"/>
  <c r="C768" i="1"/>
  <c r="D768" i="1" s="1"/>
  <c r="C365" i="1"/>
  <c r="D365" i="1" s="1"/>
  <c r="C797" i="1"/>
  <c r="D797" i="1" s="1"/>
  <c r="C780" i="1"/>
  <c r="D780" i="1" s="1"/>
  <c r="C125" i="1"/>
  <c r="D125" i="1" s="1"/>
  <c r="C719" i="1"/>
  <c r="D719" i="1" s="1"/>
  <c r="C459" i="1"/>
  <c r="D459" i="1" s="1"/>
  <c r="C995" i="1"/>
  <c r="D995" i="1" s="1"/>
  <c r="C820" i="1"/>
  <c r="D820" i="1" s="1"/>
  <c r="C280" i="1"/>
  <c r="D280" i="1" s="1"/>
  <c r="C880" i="1"/>
  <c r="D880" i="1" s="1"/>
  <c r="C599" i="1"/>
  <c r="D599" i="1" s="1"/>
  <c r="C945" i="1"/>
  <c r="D945" i="1" s="1"/>
  <c r="C351" i="1"/>
  <c r="D351" i="1" s="1"/>
  <c r="C712" i="1"/>
  <c r="D712" i="1" s="1"/>
  <c r="C170" i="1"/>
  <c r="D170" i="1" s="1"/>
  <c r="C7" i="1"/>
  <c r="D7" i="1" s="1"/>
  <c r="C733" i="1"/>
  <c r="D733" i="1" s="1"/>
  <c r="C871" i="1"/>
  <c r="D871" i="1" s="1"/>
  <c r="C763" i="1"/>
  <c r="D763" i="1" s="1"/>
  <c r="C756" i="1"/>
  <c r="D756" i="1" s="1"/>
  <c r="C802" i="1"/>
  <c r="D802" i="1" s="1"/>
  <c r="C254" i="1"/>
  <c r="D254" i="1" s="1"/>
  <c r="C329" i="1"/>
  <c r="D329" i="1" s="1"/>
  <c r="C208" i="1"/>
  <c r="D208" i="1" s="1"/>
  <c r="C548" i="1"/>
  <c r="D548" i="1" s="1"/>
  <c r="C380" i="1"/>
  <c r="D380" i="1" s="1"/>
  <c r="C985" i="1"/>
  <c r="D985" i="1" s="1"/>
  <c r="C647" i="1"/>
  <c r="D647" i="1" s="1"/>
  <c r="C665" i="1"/>
  <c r="D665" i="1" s="1"/>
  <c r="C252" i="1"/>
  <c r="D252" i="1" s="1"/>
  <c r="C405" i="1"/>
  <c r="D405" i="1" s="1"/>
  <c r="C63" i="1"/>
  <c r="D63" i="1" s="1"/>
  <c r="C302" i="1"/>
  <c r="D302" i="1" s="1"/>
  <c r="C570" i="1"/>
  <c r="D570" i="1" s="1"/>
  <c r="C241" i="1"/>
  <c r="D241" i="1" s="1"/>
  <c r="C369" i="1"/>
  <c r="D369" i="1" s="1"/>
  <c r="C614" i="1"/>
  <c r="D614" i="1" s="1"/>
  <c r="C494" i="1"/>
  <c r="D494" i="1" s="1"/>
  <c r="C654" i="1"/>
  <c r="D654" i="1" s="1"/>
  <c r="C746" i="1"/>
  <c r="D746" i="1" s="1"/>
  <c r="C44" i="1"/>
  <c r="D44" i="1" s="1"/>
  <c r="C619" i="1"/>
  <c r="D619" i="1" s="1"/>
  <c r="C204" i="1"/>
  <c r="D204" i="1" s="1"/>
  <c r="C392" i="1"/>
  <c r="D392" i="1" s="1"/>
  <c r="C817" i="1"/>
  <c r="D817" i="1" s="1"/>
  <c r="C384" i="1"/>
  <c r="D384" i="1" s="1"/>
  <c r="C819" i="1"/>
  <c r="D819" i="1" s="1"/>
  <c r="C144" i="1"/>
  <c r="D144" i="1" s="1"/>
  <c r="C398" i="1"/>
  <c r="D398" i="1" s="1"/>
  <c r="C235" i="1"/>
  <c r="D235" i="1" s="1"/>
  <c r="C955" i="1"/>
  <c r="D955" i="1" s="1"/>
  <c r="C748" i="1"/>
  <c r="D748" i="1" s="1"/>
  <c r="C160" i="1"/>
  <c r="D160" i="1" s="1"/>
  <c r="C799" i="1"/>
  <c r="D799" i="1" s="1"/>
  <c r="C505" i="1"/>
  <c r="D505" i="1" s="1"/>
  <c r="C121" i="1"/>
  <c r="D121" i="1" s="1"/>
  <c r="C366" i="1"/>
  <c r="D366" i="1" s="1"/>
  <c r="C597" i="1"/>
  <c r="D597" i="1" s="1"/>
  <c r="C703" i="1"/>
  <c r="D703" i="1" s="1"/>
  <c r="C718" i="1"/>
  <c r="D718" i="1" s="1"/>
  <c r="C666" i="1"/>
  <c r="D666" i="1" s="1"/>
  <c r="C195" i="1"/>
  <c r="D195" i="1" s="1"/>
  <c r="C699" i="1"/>
  <c r="D699" i="1" s="1"/>
  <c r="C522" i="1"/>
  <c r="D522" i="1" s="1"/>
  <c r="C504" i="1"/>
  <c r="D504" i="1" s="1"/>
  <c r="C103" i="1"/>
  <c r="D103" i="1" s="1"/>
  <c r="C14" i="1"/>
  <c r="D14" i="1" s="1"/>
  <c r="C288" i="1"/>
  <c r="D288" i="1" s="1"/>
  <c r="C639" i="1"/>
  <c r="D639" i="1" s="1"/>
  <c r="C316" i="1"/>
  <c r="D316" i="1" s="1"/>
  <c r="C587" i="1"/>
  <c r="D587" i="1" s="1"/>
  <c r="C220" i="1"/>
  <c r="D220" i="1" s="1"/>
  <c r="C999" i="1"/>
  <c r="D999" i="1" s="1"/>
  <c r="C765" i="1"/>
  <c r="D765" i="1" s="1"/>
  <c r="C910" i="1"/>
  <c r="D910" i="1" s="1"/>
  <c r="C498" i="1"/>
  <c r="D498" i="1" s="1"/>
  <c r="C457" i="1"/>
  <c r="D457" i="1" s="1"/>
  <c r="C513" i="1"/>
  <c r="D513" i="1" s="1"/>
  <c r="C272" i="1"/>
  <c r="D272" i="1" s="1"/>
  <c r="C458" i="1"/>
  <c r="D458" i="1" s="1"/>
  <c r="C753" i="1"/>
  <c r="D753" i="1" s="1"/>
  <c r="C525" i="1"/>
  <c r="D525" i="1" s="1"/>
  <c r="C848" i="1"/>
  <c r="D848" i="1" s="1"/>
  <c r="C278" i="1"/>
  <c r="D278" i="1" s="1"/>
  <c r="C456" i="1"/>
  <c r="D456" i="1" s="1"/>
  <c r="C58" i="1"/>
  <c r="D58" i="1" s="1"/>
  <c r="C529" i="1"/>
  <c r="D529" i="1" s="1"/>
  <c r="C245" i="1"/>
  <c r="D245" i="1" s="1"/>
  <c r="C55" i="1"/>
  <c r="D55" i="1" s="1"/>
  <c r="C977" i="1"/>
  <c r="D977" i="1" s="1"/>
  <c r="C255" i="1"/>
  <c r="D255" i="1" s="1"/>
  <c r="C702" i="1"/>
  <c r="D702" i="1" s="1"/>
  <c r="C493" i="1"/>
  <c r="D493" i="1" s="1"/>
  <c r="C676" i="1"/>
  <c r="D676" i="1" s="1"/>
  <c r="C705" i="1"/>
  <c r="D705" i="1" s="1"/>
  <c r="C638" i="1"/>
  <c r="D638" i="1" s="1"/>
  <c r="C301" i="1"/>
  <c r="D301" i="1" s="1"/>
  <c r="C993" i="1"/>
  <c r="D993" i="1" s="1"/>
  <c r="C155" i="1"/>
  <c r="D155" i="1" s="1"/>
  <c r="C249" i="1"/>
  <c r="D249" i="1" s="1"/>
  <c r="C964" i="1"/>
  <c r="D964" i="1" s="1"/>
  <c r="C684" i="1"/>
  <c r="D684" i="1" s="1"/>
  <c r="C914" i="1"/>
  <c r="D914" i="1" s="1"/>
  <c r="C706" i="1"/>
  <c r="D706" i="1" s="1"/>
  <c r="C181" i="1"/>
  <c r="D181" i="1" s="1"/>
  <c r="C23" i="1"/>
  <c r="D23" i="1" s="1"/>
  <c r="C572" i="1"/>
  <c r="D572" i="1" s="1"/>
  <c r="C492" i="1"/>
  <c r="D492" i="1" s="1"/>
  <c r="C177" i="1"/>
  <c r="D177" i="1" s="1"/>
  <c r="C729" i="1"/>
  <c r="D729" i="1" s="1"/>
  <c r="C675" i="1"/>
  <c r="D675" i="1" s="1"/>
  <c r="C546" i="1"/>
  <c r="D546" i="1" s="1"/>
  <c r="C108" i="1"/>
  <c r="D108" i="1" s="1"/>
  <c r="C655" i="1"/>
  <c r="D655" i="1" s="1"/>
  <c r="C583" i="1"/>
  <c r="D583" i="1" s="1"/>
  <c r="C779" i="1"/>
  <c r="D779" i="1" s="1"/>
  <c r="C409" i="1"/>
  <c r="D409" i="1" s="1"/>
  <c r="C593" i="1"/>
  <c r="D593" i="1" s="1"/>
  <c r="C540" i="1"/>
  <c r="D540" i="1" s="1"/>
  <c r="C640" i="1"/>
  <c r="D640" i="1" s="1"/>
  <c r="C71" i="1"/>
  <c r="D71" i="1" s="1"/>
  <c r="C907" i="1"/>
  <c r="D907" i="1" s="1"/>
  <c r="C996" i="1"/>
  <c r="D996" i="1" s="1"/>
  <c r="C396" i="1"/>
  <c r="D396" i="1" s="1"/>
  <c r="C375" i="1"/>
  <c r="D375" i="1" s="1"/>
  <c r="C552" i="1"/>
  <c r="D552" i="1" s="1"/>
  <c r="C761" i="1"/>
  <c r="D761" i="1" s="1"/>
  <c r="C53" i="1"/>
  <c r="D53" i="1" s="1"/>
  <c r="C203" i="1"/>
  <c r="D203" i="1" s="1"/>
  <c r="C353" i="1"/>
  <c r="D353" i="1" s="1"/>
  <c r="C578" i="1"/>
  <c r="D578" i="1" s="1"/>
  <c r="C127" i="1"/>
  <c r="D127" i="1" s="1"/>
  <c r="C414" i="1"/>
  <c r="D414" i="1" s="1"/>
  <c r="C919" i="1"/>
  <c r="D919" i="1" s="1"/>
  <c r="C386" i="1"/>
  <c r="D386" i="1" s="1"/>
  <c r="C912" i="1"/>
  <c r="D912" i="1" s="1"/>
  <c r="C697" i="1"/>
  <c r="D697" i="1" s="1"/>
  <c r="C209" i="1"/>
  <c r="D209" i="1" s="1"/>
  <c r="C290" i="1"/>
  <c r="D290" i="1" s="1"/>
  <c r="C49" i="1"/>
  <c r="D49" i="1" s="1"/>
  <c r="C592" i="1"/>
  <c r="D592" i="1" s="1"/>
  <c r="C784" i="1"/>
  <c r="D784" i="1" s="1"/>
  <c r="C534" i="1"/>
  <c r="D534" i="1" s="1"/>
  <c r="C576" i="1"/>
  <c r="D576" i="1" s="1"/>
  <c r="C563" i="1"/>
  <c r="D563" i="1" s="1"/>
  <c r="C377" i="1"/>
  <c r="D377" i="1" s="1"/>
  <c r="C419" i="1"/>
  <c r="D419" i="1" s="1"/>
  <c r="C372" i="1"/>
  <c r="D372" i="1" s="1"/>
  <c r="C915" i="1"/>
  <c r="D915" i="1" s="1"/>
  <c r="C989" i="1"/>
  <c r="D989" i="1" s="1"/>
  <c r="C308" i="1"/>
  <c r="D308" i="1" s="1"/>
  <c r="C230" i="1"/>
  <c r="D230" i="1" s="1"/>
  <c r="C165" i="1"/>
  <c r="D165" i="1" s="1"/>
  <c r="C828" i="1"/>
  <c r="D828" i="1" s="1"/>
  <c r="C321" i="1"/>
  <c r="D321" i="1" s="1"/>
  <c r="C269" i="1"/>
  <c r="D269" i="1" s="1"/>
  <c r="C547" i="1"/>
  <c r="D547" i="1" s="1"/>
  <c r="C677" i="1"/>
  <c r="D677" i="1" s="1"/>
  <c r="C538" i="1"/>
  <c r="D538" i="1" s="1"/>
  <c r="C960" i="1"/>
  <c r="D960" i="1" s="1"/>
  <c r="C334" i="1"/>
  <c r="D334" i="1" s="1"/>
  <c r="C629" i="1"/>
  <c r="D629" i="1" s="1"/>
  <c r="C98" i="1"/>
  <c r="D98" i="1" s="1"/>
  <c r="C461" i="1"/>
  <c r="D461" i="1" s="1"/>
  <c r="C849" i="1"/>
  <c r="D849" i="1" s="1"/>
  <c r="C295" i="1"/>
  <c r="D295" i="1" s="1"/>
  <c r="C6" i="1"/>
  <c r="D6" i="1" s="1"/>
  <c r="C663" i="1"/>
  <c r="D663" i="1" s="1"/>
  <c r="C438" i="1"/>
  <c r="D438" i="1" s="1"/>
  <c r="C568" i="1"/>
  <c r="D568" i="1" s="1"/>
  <c r="C627" i="1"/>
  <c r="D627" i="1" s="1"/>
  <c r="C70" i="1"/>
  <c r="D70" i="1" s="1"/>
  <c r="C106" i="1"/>
  <c r="D106" i="1" s="1"/>
  <c r="C641" i="1"/>
  <c r="D641" i="1" s="1"/>
  <c r="C519" i="1"/>
  <c r="D519" i="1" s="1"/>
  <c r="C874" i="1"/>
  <c r="D874" i="1" s="1"/>
  <c r="C832" i="1"/>
  <c r="D832" i="1" s="1"/>
  <c r="C889" i="1"/>
  <c r="D889" i="1" s="1"/>
  <c r="C611" i="1"/>
  <c r="D611" i="1" s="1"/>
  <c r="C816" i="1"/>
  <c r="D816" i="1" s="1"/>
  <c r="C452" i="1"/>
  <c r="D452" i="1" s="1"/>
  <c r="C90" i="1"/>
  <c r="D90" i="1" s="1"/>
  <c r="C691" i="1"/>
  <c r="D691" i="1" s="1"/>
  <c r="C225" i="1"/>
  <c r="D225" i="1" s="1"/>
  <c r="C95" i="1"/>
  <c r="D95" i="1" s="1"/>
  <c r="C244" i="1"/>
  <c r="D244" i="1" s="1"/>
  <c r="C982" i="1"/>
  <c r="D982" i="1" s="1"/>
  <c r="C400" i="1"/>
  <c r="D400" i="1" s="1"/>
  <c r="C558" i="1"/>
  <c r="D558" i="1" s="1"/>
  <c r="C374" i="1"/>
  <c r="D374" i="1" s="1"/>
  <c r="C890" i="1"/>
  <c r="D890" i="1" s="1"/>
  <c r="C39" i="1"/>
  <c r="D39" i="1" s="1"/>
  <c r="C129" i="1"/>
  <c r="D129" i="1" s="1"/>
  <c r="C550" i="1"/>
  <c r="D550" i="1" s="1"/>
  <c r="C335" i="1"/>
  <c r="D335" i="1" s="1"/>
  <c r="C975" i="1"/>
  <c r="D975" i="1" s="1"/>
  <c r="C906" i="1"/>
  <c r="D906" i="1" s="1"/>
  <c r="C794" i="1"/>
  <c r="D794" i="1" s="1"/>
  <c r="C465" i="1"/>
  <c r="D465" i="1" s="1"/>
  <c r="C860" i="1"/>
  <c r="D860" i="1" s="1"/>
  <c r="C610" i="1"/>
  <c r="D610" i="1" s="1"/>
  <c r="C544" i="1"/>
  <c r="D544" i="1" s="1"/>
  <c r="C286" i="1"/>
  <c r="D286" i="1" s="1"/>
  <c r="C812" i="1"/>
  <c r="D812" i="1" s="1"/>
  <c r="C698" i="1"/>
  <c r="D698" i="1" s="1"/>
  <c r="C739" i="1"/>
  <c r="D739" i="1" s="1"/>
  <c r="C110" i="1"/>
  <c r="D110" i="1" s="1"/>
  <c r="C637" i="1"/>
  <c r="D637" i="1" s="1"/>
  <c r="C163" i="1"/>
  <c r="D163" i="1" s="1"/>
  <c r="C328" i="1"/>
  <c r="D328" i="1" s="1"/>
  <c r="C959" i="1"/>
  <c r="D959" i="1" s="1"/>
  <c r="C408" i="1"/>
  <c r="D408" i="1" s="1"/>
  <c r="C588" i="1"/>
  <c r="D588" i="1" s="1"/>
  <c r="C620" i="1"/>
  <c r="D620" i="1" s="1"/>
  <c r="C294" i="1"/>
  <c r="D294" i="1" s="1"/>
  <c r="C84" i="1"/>
  <c r="D84" i="1" s="1"/>
  <c r="C182" i="1"/>
  <c r="D182" i="1" s="1"/>
  <c r="C790" i="1"/>
  <c r="D790" i="1" s="1"/>
  <c r="C836" i="1"/>
  <c r="D836" i="1" s="1"/>
  <c r="C137" i="1"/>
  <c r="D137" i="1" s="1"/>
  <c r="C150" i="1"/>
  <c r="D150" i="1" s="1"/>
  <c r="C589" i="1"/>
  <c r="D589" i="1" s="1"/>
  <c r="C222" i="1"/>
  <c r="D222" i="1" s="1"/>
  <c r="C180" i="1"/>
  <c r="D180" i="1" s="1"/>
  <c r="C102" i="1"/>
  <c r="D102" i="1" s="1"/>
  <c r="C268" i="1"/>
  <c r="D268" i="1" s="1"/>
  <c r="C123" i="1"/>
  <c r="D123" i="1" s="1"/>
  <c r="C643" i="1"/>
  <c r="D643" i="1" s="1"/>
  <c r="C625" i="1"/>
  <c r="D625" i="1" s="1"/>
  <c r="C732" i="1"/>
  <c r="D732" i="1" s="1"/>
  <c r="C64" i="1"/>
  <c r="D64" i="1" s="1"/>
  <c r="C422" i="1"/>
  <c r="D422" i="1" s="1"/>
  <c r="C158" i="1"/>
  <c r="D158" i="1" s="1"/>
  <c r="C115" i="1"/>
  <c r="D115" i="1" s="1"/>
  <c r="C156" i="1"/>
  <c r="D156" i="1" s="1"/>
  <c r="C622" i="1"/>
  <c r="D622" i="1" s="1"/>
  <c r="C514" i="1"/>
  <c r="D514" i="1" s="1"/>
  <c r="C1001" i="1"/>
  <c r="D1001" i="1" s="1"/>
  <c r="C565" i="1"/>
  <c r="D565" i="1" s="1"/>
  <c r="C687" i="1"/>
  <c r="D687" i="1" s="1"/>
  <c r="C450" i="1"/>
  <c r="D450" i="1" s="1"/>
  <c r="C726" i="1"/>
  <c r="D726" i="1" s="1"/>
  <c r="C743" i="1"/>
  <c r="D743" i="1" s="1"/>
  <c r="C36" i="1"/>
  <c r="D36" i="1" s="1"/>
  <c r="C648" i="1"/>
  <c r="D648" i="1" s="1"/>
  <c r="C916" i="1"/>
  <c r="D916" i="1" s="1"/>
  <c r="C305" i="1"/>
  <c r="D305" i="1" s="1"/>
  <c r="C66" i="1"/>
  <c r="D66" i="1" s="1"/>
  <c r="C775" i="1"/>
  <c r="D775" i="1" s="1"/>
  <c r="C918" i="1"/>
  <c r="D918" i="1" s="1"/>
  <c r="C141" i="1"/>
  <c r="D141" i="1" s="1"/>
  <c r="C470" i="1"/>
  <c r="D470" i="1" s="1"/>
  <c r="C892" i="1"/>
  <c r="D892" i="1" s="1"/>
  <c r="C941" i="1"/>
  <c r="D941" i="1" s="1"/>
  <c r="C667" i="1"/>
  <c r="D667" i="1" s="1"/>
  <c r="C306" i="1"/>
  <c r="D306" i="1" s="1"/>
  <c r="C434" i="1"/>
  <c r="D434" i="1" s="1"/>
  <c r="C708" i="1"/>
  <c r="D708" i="1" s="1"/>
  <c r="C122" i="1"/>
  <c r="D122" i="1" s="1"/>
  <c r="C473" i="1"/>
  <c r="D473" i="1" s="1"/>
  <c r="C42" i="1"/>
  <c r="D42" i="1" s="1"/>
  <c r="C467" i="1"/>
  <c r="D467" i="1" s="1"/>
  <c r="C314" i="1"/>
  <c r="D314" i="1" s="1"/>
  <c r="C868" i="1"/>
  <c r="D868" i="1" s="1"/>
  <c r="C901" i="1"/>
  <c r="D901" i="1" s="1"/>
  <c r="C792" i="1"/>
  <c r="D792" i="1" s="1"/>
  <c r="C105" i="1"/>
  <c r="D105" i="1" s="1"/>
  <c r="C94" i="1"/>
  <c r="D94" i="1" s="1"/>
  <c r="C382" i="1"/>
  <c r="D382" i="1" s="1"/>
  <c r="C864" i="1"/>
  <c r="D864" i="1" s="1"/>
  <c r="C758" i="1"/>
  <c r="D758" i="1" s="1"/>
  <c r="C27" i="1"/>
  <c r="D27" i="1" s="1"/>
  <c r="C762" i="1"/>
  <c r="D762" i="1" s="1"/>
  <c r="C664" i="1"/>
  <c r="D664" i="1" s="1"/>
  <c r="C62" i="1"/>
  <c r="D62" i="1" s="1"/>
  <c r="C808" i="1"/>
  <c r="D808" i="1" s="1"/>
  <c r="C385" i="1"/>
  <c r="D385" i="1" s="1"/>
  <c r="C602" i="1"/>
  <c r="D602" i="1" s="1"/>
  <c r="C339" i="1"/>
  <c r="D339" i="1" s="1"/>
  <c r="C38" i="1"/>
  <c r="D38" i="1" s="1"/>
  <c r="C631" i="1"/>
  <c r="D631" i="1" s="1"/>
  <c r="C921" i="1"/>
  <c r="D921" i="1" s="1"/>
  <c r="C455" i="1"/>
  <c r="D455" i="1" s="1"/>
  <c r="C938" i="1"/>
  <c r="D938" i="1" s="1"/>
  <c r="C250" i="1"/>
  <c r="D250" i="1" s="1"/>
  <c r="C485" i="1"/>
  <c r="D485" i="1" s="1"/>
  <c r="C310" i="1"/>
  <c r="D310" i="1" s="1"/>
  <c r="C367" i="1"/>
  <c r="D367" i="1" s="1"/>
  <c r="C187" i="1"/>
  <c r="D187" i="1" s="1"/>
  <c r="C202" i="1"/>
  <c r="D202" i="1" s="1"/>
  <c r="C152" i="1"/>
  <c r="D152" i="1" s="1"/>
  <c r="C950" i="1"/>
  <c r="D950" i="1" s="1"/>
  <c r="C731" i="1"/>
  <c r="D731" i="1" s="1"/>
  <c r="C491" i="1"/>
  <c r="D491" i="1" s="1"/>
  <c r="C391" i="1"/>
  <c r="D391" i="1" s="1"/>
  <c r="C243" i="1"/>
  <c r="D243" i="1" s="1"/>
  <c r="C20" i="1"/>
  <c r="D20" i="1" s="1"/>
  <c r="C423" i="1"/>
  <c r="D423" i="1" s="1"/>
  <c r="C412" i="1"/>
  <c r="D412" i="1" s="1"/>
  <c r="C745" i="1"/>
  <c r="D745" i="1" s="1"/>
  <c r="C909" i="1"/>
  <c r="D909" i="1" s="1"/>
  <c r="C303" i="1"/>
  <c r="D303" i="1" s="1"/>
  <c r="C270" i="1"/>
  <c r="D270" i="1" s="1"/>
  <c r="C13" i="1"/>
  <c r="D13" i="1" s="1"/>
  <c r="C147" i="1"/>
  <c r="D147" i="1" s="1"/>
  <c r="C89" i="1"/>
  <c r="D89" i="1" s="1"/>
  <c r="C867" i="1"/>
  <c r="D867" i="1" s="1"/>
  <c r="C806" i="1"/>
  <c r="D806" i="1" s="1"/>
  <c r="C531" i="1"/>
  <c r="D531" i="1" s="1"/>
  <c r="C410" i="1"/>
  <c r="D410" i="1" s="1"/>
  <c r="C81" i="1"/>
  <c r="D81" i="1" s="1"/>
  <c r="C213" i="1"/>
  <c r="D213" i="1" s="1"/>
  <c r="C126" i="1"/>
  <c r="D126" i="1" s="1"/>
  <c r="C562" i="1"/>
  <c r="D562" i="1" s="1"/>
  <c r="C652" i="1"/>
  <c r="D652" i="1" s="1"/>
  <c r="C276" i="1"/>
  <c r="D276" i="1" s="1"/>
  <c r="C704" i="1"/>
  <c r="D704" i="1" s="1"/>
  <c r="C626" i="1"/>
  <c r="D626" i="1" s="1"/>
  <c r="C603" i="1"/>
  <c r="D603" i="1" s="1"/>
  <c r="C256" i="1"/>
  <c r="D256" i="1" s="1"/>
  <c r="C585" i="1" l="1"/>
  <c r="D585" i="1" s="1"/>
  <c r="C259" i="1"/>
  <c r="D259" i="1" s="1"/>
  <c r="C826" i="1"/>
  <c r="D826" i="1" s="1"/>
  <c r="C990" i="1"/>
  <c r="D990" i="1" s="1"/>
  <c r="C215" i="1"/>
  <c r="D215" i="1" s="1"/>
  <c r="C670" i="1"/>
  <c r="D670" i="1" s="1"/>
  <c r="C720" i="1"/>
  <c r="D720" i="1" s="1"/>
  <c r="C974" i="1"/>
  <c r="D974" i="1" s="1"/>
  <c r="C441" i="1"/>
  <c r="D441" i="1" s="1"/>
  <c r="C557" i="1"/>
  <c r="D557" i="1" s="1"/>
  <c r="C205" i="1"/>
  <c r="D205" i="1" s="1"/>
  <c r="C76" i="1"/>
  <c r="D76" i="1" s="1"/>
  <c r="C574" i="1"/>
  <c r="D574" i="1" s="1"/>
  <c r="C564" i="1"/>
  <c r="D564" i="1" s="1"/>
  <c r="C659" i="1"/>
  <c r="D659" i="1" s="1"/>
  <c r="C831" i="1"/>
  <c r="D831" i="1" s="1"/>
  <c r="C875" i="1"/>
  <c r="D875" i="1" s="1"/>
  <c r="C891" i="1"/>
  <c r="D891" i="1" s="1"/>
  <c r="C501" i="1"/>
  <c r="D501" i="1" s="1"/>
  <c r="C834" i="1"/>
  <c r="D834" i="1" s="1"/>
  <c r="C530" i="1"/>
  <c r="D530" i="1" s="1"/>
  <c r="C870" i="1"/>
  <c r="D870" i="1" s="1"/>
  <c r="C747" i="1"/>
  <c r="D747" i="1" s="1"/>
  <c r="C873" i="1"/>
  <c r="D873" i="1" s="1"/>
  <c r="C69" i="1"/>
  <c r="D69" i="1" s="1"/>
  <c r="C360" i="1"/>
  <c r="D360" i="1" s="1"/>
  <c r="C266" i="1"/>
  <c r="D266" i="1" s="1"/>
  <c r="C517" i="1"/>
  <c r="D517" i="1" s="1"/>
  <c r="C368" i="1"/>
  <c r="D368" i="1" s="1"/>
  <c r="C143" i="1"/>
  <c r="D143" i="1" s="1"/>
  <c r="C500" i="1"/>
  <c r="D500" i="1" s="1"/>
  <c r="C277" i="1"/>
  <c r="D277" i="1" s="1"/>
  <c r="C96" i="1"/>
  <c r="D96" i="1" s="1"/>
  <c r="C61" i="1"/>
  <c r="D61" i="1" s="1"/>
  <c r="C833" i="1"/>
  <c r="D833" i="1" s="1"/>
  <c r="C965" i="1"/>
  <c r="D965" i="1" s="1"/>
  <c r="C424" i="1"/>
  <c r="D424" i="1" s="1"/>
  <c r="C523" i="1"/>
  <c r="D523" i="1" s="1"/>
  <c r="C847" i="1"/>
  <c r="D847" i="1" s="1"/>
  <c r="C798" i="1"/>
  <c r="D798" i="1" s="1"/>
  <c r="C923" i="1"/>
  <c r="D923" i="1" s="1"/>
  <c r="C363" i="1"/>
  <c r="D363" i="1" s="1"/>
  <c r="C114" i="1"/>
  <c r="D114" i="1" s="1"/>
  <c r="C432" i="1"/>
  <c r="D432" i="1" s="1"/>
  <c r="C359" i="1"/>
  <c r="D359" i="1" s="1"/>
  <c r="C325" i="1"/>
  <c r="D325" i="1" s="1"/>
  <c r="C227" i="1"/>
  <c r="D227" i="1" s="1"/>
  <c r="C242" i="1"/>
  <c r="D242" i="1" s="1"/>
  <c r="C101" i="1"/>
  <c r="D101" i="1" s="1"/>
  <c r="C495" i="1"/>
  <c r="D495" i="1" s="1"/>
  <c r="C174" i="1"/>
  <c r="D174" i="1" s="1"/>
  <c r="C541" i="1"/>
  <c r="D541" i="1" s="1"/>
  <c r="C844" i="1"/>
  <c r="D844" i="1" s="1"/>
  <c r="C850" i="1"/>
  <c r="D850" i="1" s="1"/>
  <c r="C191" i="1"/>
  <c r="D191" i="1" s="1"/>
  <c r="C331" i="1"/>
  <c r="D331" i="1" s="1"/>
  <c r="C791" i="1"/>
  <c r="D791" i="1" s="1"/>
  <c r="C591" i="1"/>
  <c r="D591" i="1" s="1"/>
  <c r="C823" i="1"/>
  <c r="D823" i="1" s="1"/>
  <c r="C837" i="1"/>
  <c r="D837" i="1" s="1"/>
  <c r="C318" i="1"/>
  <c r="D318" i="1" s="1"/>
  <c r="C140" i="1"/>
  <c r="D140" i="1" s="1"/>
  <c r="C787" i="1"/>
  <c r="D787" i="1" s="1"/>
  <c r="C226" i="1"/>
  <c r="D226" i="1" s="1"/>
  <c r="C356" i="1"/>
  <c r="D356" i="1" s="1"/>
  <c r="C930" i="1"/>
  <c r="D930" i="1" s="1"/>
  <c r="C636" i="1"/>
  <c r="D636" i="1" s="1"/>
  <c r="C139" i="1"/>
  <c r="D139" i="1" s="1"/>
  <c r="C632" i="1"/>
  <c r="D632" i="1" s="1"/>
  <c r="C908" i="1"/>
  <c r="D908" i="1" s="1"/>
  <c r="C25" i="1"/>
  <c r="D25" i="1" s="1"/>
  <c r="C8" i="1"/>
  <c r="D8" i="1" s="1"/>
  <c r="C16" i="1"/>
  <c r="D16" i="1" s="1"/>
  <c r="C32" i="1"/>
  <c r="D32" i="1" s="1"/>
  <c r="C164" i="1"/>
  <c r="D164" i="1" s="1"/>
  <c r="C24" i="1"/>
  <c r="D24" i="1" s="1"/>
  <c r="C922" i="1"/>
  <c r="D922" i="1" s="1"/>
  <c r="C200" i="1"/>
  <c r="D200" i="1" s="1"/>
  <c r="C795" i="1"/>
  <c r="D795" i="1" s="1"/>
  <c r="C206" i="1"/>
  <c r="D206" i="1" s="1"/>
  <c r="C483" i="1"/>
  <c r="D483" i="1" s="1"/>
  <c r="C431" i="1"/>
  <c r="D431" i="1" s="1"/>
  <c r="C5" i="1"/>
  <c r="D5" i="1" s="1"/>
  <c r="C83" i="1"/>
  <c r="D83" i="1" s="1"/>
  <c r="C236" i="1"/>
  <c r="D236" i="1" s="1"/>
  <c r="C154" i="1"/>
  <c r="D154" i="1" s="1"/>
  <c r="C91" i="1"/>
  <c r="D91" i="1" s="1"/>
  <c r="C992" i="1"/>
  <c r="D992" i="1" s="1"/>
  <c r="C744" i="1"/>
  <c r="D744" i="1" s="1"/>
  <c r="C559" i="1"/>
  <c r="D559" i="1" s="1"/>
  <c r="C600" i="1"/>
  <c r="D600" i="1" s="1"/>
  <c r="C168" i="1"/>
  <c r="D168" i="1" s="1"/>
  <c r="C56" i="1"/>
  <c r="D56" i="1" s="1"/>
  <c r="C404" i="1"/>
  <c r="D404" i="1" s="1"/>
  <c r="C515" i="1"/>
  <c r="D515" i="1" s="1"/>
  <c r="C12" i="1"/>
  <c r="D12" i="1" s="1"/>
  <c r="C471" i="1"/>
  <c r="D471" i="1" s="1"/>
  <c r="C229" i="1"/>
  <c r="D229" i="1" s="1"/>
  <c r="C2" i="1"/>
  <c r="D2" i="1" s="1"/>
  <c r="C4" i="1"/>
  <c r="D4" i="1" s="1"/>
  <c r="C370" i="1"/>
  <c r="D370" i="1" s="1"/>
  <c r="C896" i="1"/>
  <c r="D896" i="1" s="1"/>
  <c r="C854" i="1"/>
  <c r="D854" i="1" s="1"/>
  <c r="C327" i="1"/>
  <c r="D327" i="1" s="1"/>
  <c r="C759" i="1"/>
  <c r="D759" i="1" s="1"/>
  <c r="C97" i="1"/>
  <c r="D97" i="1" s="1"/>
  <c r="C264" i="1"/>
  <c r="D264" i="1" s="1"/>
  <c r="C579" i="1"/>
  <c r="D579" i="1" s="1"/>
  <c r="C173" i="1"/>
  <c r="D173" i="1" s="1"/>
  <c r="C355" i="1"/>
  <c r="D355" i="1" s="1"/>
  <c r="C983" i="1"/>
  <c r="D983" i="1" s="1"/>
  <c r="C899" i="1"/>
  <c r="D899" i="1" s="1"/>
  <c r="C650" i="1"/>
  <c r="D650" i="1" s="1"/>
  <c r="C50" i="1"/>
  <c r="D50" i="1" s="1"/>
  <c r="C221" i="1"/>
  <c r="D221" i="1" s="1"/>
  <c r="C933" i="1"/>
  <c r="D933" i="1" s="1"/>
  <c r="C630" i="1"/>
  <c r="D630" i="1" s="1"/>
  <c r="C175" i="1"/>
  <c r="D175" i="1" s="1"/>
  <c r="C10" i="1"/>
  <c r="D10" i="1" s="1"/>
  <c r="C78" i="1"/>
  <c r="D78" i="1" s="1"/>
  <c r="C15" i="1"/>
  <c r="D15" i="1" s="1"/>
  <c r="C26" i="1"/>
  <c r="D26" i="1" s="1"/>
  <c r="C43" i="1"/>
  <c r="D43" i="1" s="1"/>
  <c r="C789" i="1"/>
  <c r="D789" i="1" s="1"/>
  <c r="C357" i="1"/>
  <c r="D357" i="1" s="1"/>
  <c r="C468" i="1"/>
  <c r="D468" i="1" s="1"/>
  <c r="C841" i="1"/>
  <c r="D841" i="1" s="1"/>
  <c r="C35" i="1"/>
  <c r="D35" i="1" s="1"/>
  <c r="C807" i="1"/>
  <c r="D807" i="1" s="1"/>
  <c r="C45" i="1"/>
  <c r="D45" i="1" s="1"/>
  <c r="C199" i="1"/>
  <c r="D199" i="1" s="1"/>
  <c r="C309" i="1"/>
  <c r="D309" i="1" s="1"/>
  <c r="C19" i="1"/>
  <c r="D19" i="1" s="1"/>
  <c r="C694" i="1"/>
  <c r="D694" i="1" s="1"/>
  <c r="C1000" i="1"/>
  <c r="D1000" i="1" s="1"/>
  <c r="C549" i="1"/>
  <c r="D549" i="1" s="1"/>
  <c r="C393" i="1"/>
  <c r="D393" i="1" s="1"/>
  <c r="C757" i="1"/>
  <c r="D757" i="1" s="1"/>
  <c r="C957" i="1"/>
  <c r="D957" i="1" s="1"/>
  <c r="C99" i="1"/>
  <c r="D99" i="1" s="1"/>
  <c r="C657" i="1"/>
  <c r="D657" i="1" s="1"/>
  <c r="C953" i="1"/>
  <c r="D953" i="1" s="1"/>
  <c r="C436" i="1"/>
  <c r="D436" i="1" s="1"/>
  <c r="C862" i="1"/>
  <c r="D862" i="1" s="1"/>
  <c r="C829" i="1"/>
  <c r="D829" i="1" s="1"/>
  <c r="C343" i="1"/>
  <c r="D343" i="1" s="1"/>
  <c r="C33" i="1"/>
  <c r="D33" i="1" s="1"/>
  <c r="C536" i="1"/>
  <c r="D536" i="1" s="1"/>
  <c r="C774" i="1"/>
  <c r="D774" i="1" s="1"/>
  <c r="C477" i="1"/>
  <c r="D477" i="1" s="1"/>
  <c r="C688" i="1"/>
  <c r="D688" i="1" s="1"/>
  <c r="C645" i="1"/>
  <c r="D645" i="1" s="1"/>
  <c r="C472" i="1"/>
  <c r="D472" i="1" s="1"/>
  <c r="C186" i="1"/>
  <c r="D186" i="1" s="1"/>
  <c r="C926" i="1"/>
  <c r="D926" i="1" s="1"/>
  <c r="C296" i="1"/>
  <c r="D296" i="1" s="1"/>
  <c r="C717" i="1"/>
  <c r="D717" i="1" s="1"/>
  <c r="C148" i="1"/>
  <c r="D148" i="1" s="1"/>
  <c r="C888" i="1"/>
  <c r="D888" i="1" s="1"/>
  <c r="C520" i="1"/>
  <c r="D520" i="1" s="1"/>
  <c r="C484" i="1"/>
  <c r="D484" i="1" s="1"/>
  <c r="C634" i="1"/>
  <c r="D634" i="1" s="1"/>
  <c r="C347" i="1"/>
  <c r="D347" i="1" s="1"/>
  <c r="C967" i="1"/>
  <c r="D967" i="1" s="1"/>
  <c r="C192" i="1"/>
  <c r="D192" i="1" s="1"/>
  <c r="C984" i="1"/>
  <c r="D984" i="1" s="1"/>
  <c r="C119" i="1"/>
  <c r="D119" i="1" s="1"/>
  <c r="C881" i="1"/>
  <c r="D881" i="1" s="1"/>
  <c r="C311" i="1"/>
  <c r="D311" i="1" s="1"/>
  <c r="C317" i="1"/>
  <c r="D317" i="1" s="1"/>
  <c r="C145" i="1"/>
  <c r="D145" i="1" s="1"/>
  <c r="C942" i="1"/>
  <c r="D942" i="1" s="1"/>
  <c r="C284" i="1"/>
  <c r="D284" i="1" s="1"/>
  <c r="C814" i="1"/>
  <c r="D814" i="1" s="1"/>
  <c r="C555" i="1"/>
  <c r="D555" i="1" s="1"/>
  <c r="C976" i="1"/>
  <c r="D976" i="1" s="1"/>
  <c r="C516" i="1"/>
  <c r="D516" i="1" s="1"/>
  <c r="C695" i="1"/>
  <c r="D695" i="1" s="1"/>
  <c r="C403" i="1"/>
  <c r="D403" i="1" s="1"/>
  <c r="C171" i="1"/>
  <c r="D171" i="1" s="1"/>
  <c r="C224" i="1"/>
  <c r="D224" i="1" s="1"/>
  <c r="C723" i="1"/>
  <c r="D723" i="1" s="1"/>
  <c r="C861" i="1"/>
  <c r="D861" i="1" s="1"/>
  <c r="C510" i="1"/>
  <c r="D510" i="1" s="1"/>
  <c r="C176" i="1"/>
  <c r="D176" i="1" s="1"/>
  <c r="C31" i="1"/>
  <c r="D31" i="1" s="1"/>
  <c r="C710" i="1"/>
  <c r="D710" i="1" s="1"/>
  <c r="C198" i="1"/>
  <c r="D198" i="1" s="1"/>
  <c r="C146" i="1"/>
  <c r="D146" i="1" s="1"/>
  <c r="C842" i="1"/>
  <c r="D842" i="1" s="1"/>
  <c r="C796" i="1"/>
  <c r="D796" i="1" s="1"/>
  <c r="C554" i="1"/>
  <c r="D554" i="1" s="1"/>
  <c r="C700" i="1"/>
  <c r="D700" i="1" s="1"/>
  <c r="C142" i="1"/>
  <c r="D142" i="1" s="1"/>
  <c r="C289" i="1"/>
  <c r="D289" i="1" s="1"/>
  <c r="C469" i="1"/>
  <c r="D469" i="1" s="1"/>
  <c r="C839" i="1"/>
  <c r="D839" i="1" s="1"/>
  <c r="C981" i="1"/>
  <c r="D981" i="1" s="1"/>
  <c r="C488" i="1"/>
  <c r="D488" i="1" s="1"/>
  <c r="C693" i="1"/>
  <c r="D693" i="1" s="1"/>
  <c r="C279" i="1"/>
  <c r="D279" i="1" s="1"/>
  <c r="C107" i="1"/>
  <c r="D107" i="1" s="1"/>
  <c r="C679" i="1"/>
  <c r="D679" i="1" s="1"/>
  <c r="C443" i="1"/>
  <c r="D443" i="1" s="1"/>
  <c r="C75" i="1"/>
  <c r="D75" i="1" s="1"/>
  <c r="C827" i="1"/>
  <c r="D827" i="1" s="1"/>
  <c r="C218" i="1"/>
  <c r="D218" i="1" s="1"/>
  <c r="C429" i="1"/>
  <c r="D429" i="1" s="1"/>
  <c r="C341" i="1"/>
  <c r="D341" i="1" s="1"/>
  <c r="C37" i="1"/>
  <c r="D37" i="1" s="1"/>
  <c r="C858" i="1"/>
  <c r="D858" i="1" s="1"/>
  <c r="C428" i="1"/>
  <c r="D428" i="1" s="1"/>
  <c r="C882" i="1"/>
  <c r="D882" i="1" s="1"/>
  <c r="C234" i="1"/>
  <c r="D234" i="1" s="1"/>
  <c r="C67" i="1"/>
  <c r="D67" i="1" s="1"/>
  <c r="C905" i="1"/>
  <c r="D905" i="1" s="1"/>
  <c r="C878" i="1"/>
  <c r="D878" i="1" s="1"/>
  <c r="C29" i="1"/>
  <c r="D29" i="1" s="1"/>
  <c r="C399" i="1"/>
  <c r="D399" i="1" s="1"/>
  <c r="C752" i="1"/>
  <c r="D752" i="1" s="1"/>
  <c r="C41" i="1"/>
  <c r="D41" i="1" s="1"/>
  <c r="C232" i="1"/>
  <c r="D232" i="1" s="1"/>
  <c r="C247" i="1"/>
  <c r="D247" i="1" s="1"/>
  <c r="C418" i="1"/>
  <c r="D418" i="1" s="1"/>
  <c r="C116" i="1"/>
  <c r="D116" i="1" s="1"/>
  <c r="C524" i="1"/>
  <c r="D524" i="1" s="1"/>
  <c r="C998" i="1"/>
  <c r="D998" i="1" s="1"/>
  <c r="C815" i="1"/>
  <c r="D815" i="1" s="1"/>
  <c r="C358" i="1"/>
  <c r="D358" i="1" s="1"/>
  <c r="C131" i="1"/>
  <c r="D131" i="1" s="1"/>
  <c r="C274" i="1"/>
  <c r="D274" i="1" s="1"/>
  <c r="C932" i="1"/>
  <c r="D932" i="1" s="1"/>
  <c r="C240" i="1"/>
  <c r="D240" i="1" s="1"/>
  <c r="C442" i="1"/>
  <c r="D442" i="1" s="1"/>
  <c r="C92" i="1"/>
  <c r="D92" i="1" s="1"/>
  <c r="C51" i="1"/>
  <c r="D51" i="1" s="1"/>
  <c r="C786" i="1"/>
  <c r="D786" i="1" s="1"/>
  <c r="C211" i="1"/>
  <c r="D211" i="1" s="1"/>
  <c r="C778" i="1"/>
  <c r="D778" i="1" s="1"/>
  <c r="C584" i="1"/>
  <c r="D584" i="1" s="1"/>
  <c r="C3" i="1"/>
  <c r="D3" i="1" s="1"/>
  <c r="C448" i="1"/>
  <c r="D448" i="1" s="1"/>
  <c r="C711" i="1"/>
  <c r="D711" i="1" s="1"/>
  <c r="C112" i="1"/>
  <c r="D112" i="1" s="1"/>
  <c r="C258" i="1"/>
  <c r="D258" i="1" s="1"/>
  <c r="C193" i="1"/>
  <c r="D193" i="1" s="1"/>
  <c r="C658" i="1"/>
  <c r="D658" i="1" s="1"/>
  <c r="C383" i="1"/>
  <c r="D383" i="1" s="1"/>
  <c r="C543" i="1"/>
  <c r="D543" i="1" s="1"/>
  <c r="C415" i="1"/>
  <c r="D415" i="1" s="1"/>
  <c r="C430" i="1"/>
  <c r="D430" i="1" s="1"/>
  <c r="C567" i="1"/>
  <c r="D567" i="1" s="1"/>
  <c r="C671" i="1"/>
  <c r="D671" i="1" s="1"/>
  <c r="C178" i="1"/>
  <c r="D178" i="1" s="1"/>
  <c r="C326" i="1"/>
  <c r="D326" i="1" s="1"/>
  <c r="C397" i="1"/>
  <c r="D397" i="1" s="1"/>
  <c r="C893" i="1"/>
  <c r="D893" i="1" s="1"/>
  <c r="C445" i="1"/>
  <c r="D445" i="1" s="1"/>
  <c r="C337" i="1"/>
  <c r="D337" i="1" s="1"/>
  <c r="C402" i="1"/>
  <c r="D402" i="1" s="1"/>
  <c r="C939" i="1"/>
  <c r="D939" i="1" s="1"/>
  <c r="C872" i="1"/>
  <c r="D872" i="1" s="1"/>
  <c r="C238" i="1"/>
  <c r="D238" i="1" s="1"/>
  <c r="C287" i="1"/>
  <c r="D287" i="1" s="1"/>
  <c r="C662" i="1"/>
  <c r="D662" i="1" s="1"/>
  <c r="C324" i="1"/>
  <c r="D324" i="1" s="1"/>
  <c r="C649" i="1"/>
  <c r="D649" i="1" s="1"/>
  <c r="C532" i="1"/>
  <c r="D532" i="1" s="1"/>
  <c r="C781" i="1"/>
  <c r="D781" i="1" s="1"/>
  <c r="C395" i="1"/>
  <c r="D395" i="1" s="1"/>
  <c r="C322" i="1"/>
  <c r="D322" i="1" s="1"/>
  <c r="C440" i="1"/>
  <c r="D440" i="1" s="1"/>
  <c r="C728" i="1"/>
  <c r="D728" i="1" s="1"/>
  <c r="C865" i="1"/>
  <c r="D865" i="1" s="1"/>
  <c r="C159" i="1"/>
  <c r="D159" i="1" s="1"/>
  <c r="C624" i="1"/>
  <c r="D624" i="1" s="1"/>
  <c r="C464" i="1"/>
  <c r="D464" i="1" s="1"/>
  <c r="C466" i="1"/>
  <c r="D466" i="1" s="1"/>
  <c r="C994" i="1"/>
  <c r="D994" i="1" s="1"/>
  <c r="C772" i="1"/>
  <c r="D772" i="1" s="1"/>
  <c r="C609" i="1"/>
  <c r="D609" i="1" s="1"/>
  <c r="C490" i="1"/>
  <c r="D490" i="1" s="1"/>
  <c r="C533" i="1"/>
  <c r="D533" i="1" s="1"/>
  <c r="C293" i="1"/>
  <c r="D293" i="1" s="1"/>
  <c r="C980" i="1"/>
  <c r="D980" i="1" s="1"/>
  <c r="C251" i="1"/>
  <c r="D251" i="1" s="1"/>
  <c r="C307" i="1"/>
  <c r="D307" i="1" s="1"/>
  <c r="C635" i="1"/>
  <c r="D635" i="1" s="1"/>
  <c r="C573" i="1"/>
  <c r="D573" i="1" s="1"/>
  <c r="C835" i="1"/>
  <c r="D835" i="1" s="1"/>
  <c r="C40" i="1"/>
  <c r="D40" i="1" s="1"/>
  <c r="C656" i="1"/>
  <c r="D656" i="1" s="1"/>
  <c r="C800" i="1"/>
  <c r="D800" i="1" s="1"/>
  <c r="C851" i="1"/>
  <c r="D851" i="1" s="1"/>
  <c r="C88" i="1"/>
  <c r="D88" i="1" s="1"/>
  <c r="C80" i="1"/>
  <c r="D80" i="1" s="1"/>
  <c r="C216" i="1"/>
  <c r="D216" i="1" s="1"/>
  <c r="C879" i="1"/>
  <c r="D879" i="1" s="1"/>
  <c r="C509" i="1"/>
  <c r="D509" i="1" s="1"/>
  <c r="C265" i="1"/>
  <c r="D265" i="1" s="1"/>
  <c r="C617" i="1"/>
  <c r="D617" i="1" s="1"/>
  <c r="C133" i="1"/>
  <c r="D133" i="1" s="1"/>
  <c r="C598" i="1"/>
  <c r="D598" i="1" s="1"/>
  <c r="C707" i="1"/>
  <c r="D707" i="1" s="1"/>
  <c r="C128" i="1"/>
  <c r="D128" i="1" s="1"/>
  <c r="C281" i="1"/>
  <c r="D281" i="1" s="1"/>
  <c r="C722" i="1"/>
  <c r="D722" i="1" s="1"/>
  <c r="C821" i="1"/>
  <c r="D821" i="1" s="1"/>
  <c r="C319" i="1"/>
  <c r="D319" i="1" s="1"/>
  <c r="C920" i="1"/>
  <c r="D920" i="1" s="1"/>
  <c r="C590" i="1"/>
  <c r="D590" i="1" s="1"/>
  <c r="C813" i="1"/>
  <c r="D813" i="1" s="1"/>
  <c r="C350" i="1"/>
  <c r="D350" i="1" s="1"/>
  <c r="C843" i="1"/>
  <c r="D843" i="1" s="1"/>
  <c r="C425" i="1"/>
  <c r="D425" i="1" s="1"/>
  <c r="C846" i="1"/>
  <c r="D846" i="1" s="1"/>
  <c r="C59" i="1"/>
  <c r="D59" i="1" s="1"/>
  <c r="C971" i="1"/>
  <c r="D971" i="1" s="1"/>
  <c r="C22" i="1"/>
  <c r="D22" i="1" s="1"/>
  <c r="C633" i="1"/>
  <c r="D633" i="1" s="1"/>
  <c r="C783" i="1"/>
  <c r="D783" i="1" s="1"/>
  <c r="C944" i="1"/>
  <c r="D944" i="1" s="1"/>
  <c r="C986" i="1"/>
  <c r="D986" i="1" s="1"/>
  <c r="C927" i="1"/>
  <c r="D927" i="1" s="1"/>
  <c r="C553" i="1"/>
  <c r="D553" i="1" s="1"/>
  <c r="C354" i="1"/>
  <c r="D354" i="1" s="1"/>
  <c r="C595" i="1"/>
  <c r="D595" i="1" s="1"/>
  <c r="C560" i="1"/>
  <c r="D560" i="1" s="1"/>
  <c r="C754" i="1"/>
  <c r="D754" i="1" s="1"/>
  <c r="C237" i="1"/>
  <c r="D237" i="1" s="1"/>
  <c r="C607" i="1"/>
  <c r="D607" i="1" s="1"/>
  <c r="C463" i="1"/>
  <c r="D463" i="1" s="1"/>
  <c r="C672" i="1"/>
  <c r="D672" i="1" s="1"/>
  <c r="C931" i="1"/>
  <c r="D931" i="1" s="1"/>
  <c r="C18" i="1"/>
  <c r="D18" i="1" s="1"/>
  <c r="C535" i="1"/>
  <c r="D535" i="1" s="1"/>
  <c r="C352" i="1"/>
  <c r="D352" i="1" s="1"/>
  <c r="C323" i="1"/>
  <c r="D323" i="1" s="1"/>
  <c r="C608" i="1"/>
  <c r="D608" i="1" s="1"/>
  <c r="C212" i="1"/>
  <c r="D212" i="1" s="1"/>
  <c r="C275" i="1"/>
  <c r="D275" i="1" s="1"/>
  <c r="C111" i="1"/>
  <c r="D111" i="1" s="1"/>
  <c r="C299" i="1"/>
  <c r="D299" i="1" s="1"/>
  <c r="C262" i="1"/>
  <c r="D262" i="1" s="1"/>
  <c r="C678" i="1"/>
  <c r="D678" i="1" s="1"/>
  <c r="C740" i="1"/>
  <c r="D740" i="1" s="1"/>
  <c r="C47" i="1"/>
  <c r="D47" i="1" s="1"/>
  <c r="C320" i="1"/>
  <c r="D320" i="1" s="1"/>
  <c r="C291" i="1"/>
  <c r="D291" i="1" s="1"/>
  <c r="C411" i="1"/>
  <c r="D411" i="1" s="1"/>
  <c r="C973" i="1"/>
  <c r="D973" i="1" s="1"/>
  <c r="C660" i="1"/>
  <c r="D660" i="1" s="1"/>
  <c r="C929" i="1"/>
  <c r="D929" i="1" s="1"/>
  <c r="C962" i="1"/>
  <c r="D962" i="1" s="1"/>
  <c r="C911" i="1"/>
  <c r="D911" i="1" s="1"/>
  <c r="C877" i="1"/>
  <c r="D877" i="1" s="1"/>
  <c r="C486" i="1"/>
  <c r="D486" i="1" s="1"/>
  <c r="C853" i="1"/>
  <c r="D853" i="1" s="1"/>
  <c r="C437" i="1"/>
  <c r="D437" i="1" s="1"/>
  <c r="C166" i="1"/>
  <c r="D166" i="1" s="1"/>
  <c r="C135" i="1"/>
  <c r="D135" i="1" s="1"/>
  <c r="C937" i="1"/>
  <c r="D937" i="1" s="1"/>
  <c r="C228" i="1"/>
  <c r="D228" i="1" s="1"/>
  <c r="C394" i="1"/>
  <c r="D394" i="1" s="1"/>
  <c r="C715" i="1"/>
  <c r="D715" i="1" s="1"/>
  <c r="C951" i="1"/>
  <c r="D951" i="1" s="1"/>
  <c r="C507" i="1"/>
  <c r="D507" i="1" s="1"/>
  <c r="C387" i="1"/>
  <c r="D387" i="1" s="1"/>
  <c r="C46" i="1"/>
  <c r="D46" i="1" s="1"/>
  <c r="C979" i="1"/>
  <c r="D979" i="1" s="1"/>
  <c r="C551" i="1"/>
  <c r="D551" i="1" s="1"/>
  <c r="C673" i="1"/>
  <c r="D673" i="1" s="1"/>
  <c r="C760" i="1"/>
  <c r="D760" i="1" s="1"/>
  <c r="C297" i="1"/>
  <c r="D297" i="1" s="1"/>
  <c r="C74" i="1"/>
  <c r="D74" i="1" s="1"/>
  <c r="C674" i="1"/>
  <c r="D674" i="1" s="1"/>
  <c r="C852" i="1"/>
  <c r="D852" i="1" s="1"/>
  <c r="C749" i="1"/>
  <c r="D749" i="1" s="1"/>
  <c r="C480" i="1"/>
  <c r="D480" i="1" s="1"/>
  <c r="C811" i="1"/>
  <c r="D811" i="1" s="1"/>
  <c r="C997" i="1"/>
  <c r="D997" i="1" s="1"/>
  <c r="C801" i="1"/>
  <c r="D801" i="1" s="1"/>
  <c r="C261" i="1"/>
  <c r="D261" i="1" s="1"/>
  <c r="C897" i="1"/>
  <c r="D897" i="1" s="1"/>
  <c r="C300" i="1"/>
  <c r="D300" i="1" s="1"/>
  <c r="C379" i="1"/>
  <c r="D379" i="1" s="1"/>
  <c r="C963" i="1"/>
  <c r="D963" i="1" s="1"/>
  <c r="C940" i="1"/>
  <c r="D940" i="1" s="1"/>
  <c r="C803" i="1"/>
  <c r="D803" i="1" s="1"/>
  <c r="C100" i="1"/>
  <c r="D100" i="1" s="1"/>
  <c r="C716" i="1"/>
  <c r="D716" i="1" s="1"/>
  <c r="C214" i="1"/>
  <c r="D214" i="1" s="1"/>
  <c r="C340" i="1"/>
  <c r="D340" i="1" s="1"/>
  <c r="C172" i="1"/>
  <c r="D172" i="1" s="1"/>
  <c r="C86" i="1"/>
  <c r="D86" i="1" s="1"/>
  <c r="C642" i="1"/>
  <c r="D642" i="1" s="1"/>
  <c r="C669" i="1"/>
  <c r="D669" i="1" s="1"/>
  <c r="C646" i="1"/>
  <c r="D646" i="1" s="1"/>
  <c r="C577" i="1"/>
  <c r="D577" i="1" s="1"/>
  <c r="C194" i="1"/>
  <c r="D194" i="1" s="1"/>
  <c r="C454" i="1"/>
  <c r="D454" i="1" s="1"/>
  <c r="C52" i="1"/>
  <c r="D52" i="1" s="1"/>
  <c r="C776" i="1"/>
  <c r="D776" i="1" s="1"/>
  <c r="C680" i="1"/>
  <c r="D680" i="1" s="1"/>
  <c r="C267" i="1"/>
  <c r="D267" i="1" s="1"/>
  <c r="C82" i="1"/>
  <c r="D82" i="1" s="1"/>
  <c r="C361" i="1"/>
  <c r="D361" i="1" s="1"/>
  <c r="C701" i="1"/>
  <c r="D701" i="1" s="1"/>
  <c r="C219" i="1"/>
  <c r="D219" i="1" s="1"/>
  <c r="C420" i="1"/>
  <c r="D420" i="1" s="1"/>
  <c r="C292" i="1"/>
  <c r="D292" i="1" s="1"/>
  <c r="C342" i="1"/>
  <c r="D342" i="1" s="1"/>
  <c r="C766" i="1"/>
  <c r="D766" i="1" s="1"/>
  <c r="C651" i="1"/>
  <c r="D651" i="1" s="1"/>
  <c r="C346" i="1"/>
  <c r="D346" i="1" s="1"/>
  <c r="C183" i="1"/>
  <c r="D183" i="1" s="1"/>
  <c r="C788" i="1"/>
  <c r="D788" i="1" s="1"/>
  <c r="C736" i="1"/>
  <c r="D736" i="1" s="1"/>
  <c r="C770" i="1"/>
  <c r="D770" i="1" s="1"/>
  <c r="C859" i="1"/>
  <c r="D859" i="1" s="1"/>
  <c r="C724" i="1"/>
  <c r="D724" i="1" s="1"/>
  <c r="C885" i="1"/>
  <c r="D885" i="1" s="1"/>
  <c r="C330" i="1"/>
  <c r="D330" i="1" s="1"/>
  <c r="C179" i="1"/>
  <c r="D179" i="1" s="1"/>
  <c r="C313" i="1"/>
  <c r="D313" i="1" s="1"/>
  <c r="C526" i="1"/>
  <c r="D526" i="1" s="1"/>
  <c r="C136" i="1"/>
  <c r="D136" i="1" s="1"/>
  <c r="C315" i="1"/>
  <c r="D315" i="1" s="1"/>
  <c r="C628" i="1"/>
  <c r="D628" i="1" s="1"/>
  <c r="C460" i="1"/>
  <c r="D460" i="1" s="1"/>
  <c r="C582" i="1"/>
  <c r="D582" i="1" s="1"/>
  <c r="C566" i="1"/>
  <c r="D566" i="1" s="1"/>
  <c r="C900" i="1"/>
  <c r="D900" i="1" s="1"/>
  <c r="C388" i="1"/>
  <c r="D388" i="1" s="1"/>
  <c r="C855" i="1"/>
  <c r="D855" i="1" s="1"/>
  <c r="C77" i="1"/>
  <c r="D77" i="1" s="1"/>
  <c r="C596" i="1"/>
  <c r="D596" i="1" s="1"/>
  <c r="C453" i="1"/>
  <c r="D453" i="1" s="1"/>
  <c r="C381" i="1"/>
  <c r="D381" i="1" s="1"/>
  <c r="C333" i="1"/>
  <c r="D333" i="1" s="1"/>
  <c r="C580" i="1"/>
  <c r="D580" i="1" s="1"/>
  <c r="C845" i="1"/>
  <c r="D845" i="1" s="1"/>
  <c r="C54" i="1"/>
  <c r="D54" i="1" s="1"/>
  <c r="C876" i="1"/>
  <c r="D876" i="1" s="1"/>
  <c r="C185" i="1"/>
  <c r="D185" i="1" s="1"/>
  <c r="C349" i="1"/>
  <c r="D349" i="1" s="1"/>
  <c r="C57" i="1"/>
  <c r="D57" i="1" s="1"/>
  <c r="C769" i="1"/>
  <c r="D769" i="1" s="1"/>
  <c r="C298" i="1"/>
  <c r="D298" i="1" s="1"/>
  <c r="C217" i="1"/>
  <c r="D217" i="1" s="1"/>
  <c r="C223" i="1"/>
  <c r="D223" i="1" s="1"/>
  <c r="C348" i="1"/>
  <c r="D348" i="1" s="1"/>
  <c r="C653" i="1"/>
  <c r="D653" i="1" s="1"/>
  <c r="C117" i="1"/>
  <c r="D117" i="1" s="1"/>
  <c r="C767" i="1"/>
  <c r="D767" i="1" s="1"/>
  <c r="C725" i="1"/>
  <c r="D725" i="1" s="1"/>
  <c r="C73" i="1"/>
  <c r="D73" i="1" s="1"/>
  <c r="C427" i="1"/>
  <c r="D427" i="1" s="1"/>
  <c r="C991" i="1"/>
  <c r="D991" i="1" s="1"/>
  <c r="C390" i="1"/>
  <c r="D390" i="1" s="1"/>
  <c r="C239" i="1"/>
  <c r="D239" i="1" s="1"/>
  <c r="C606" i="1"/>
  <c r="D606" i="1" s="1"/>
  <c r="C344" i="1"/>
  <c r="D344" i="1" s="1"/>
  <c r="C782" i="1"/>
  <c r="D782" i="1" s="1"/>
  <c r="C809" i="1"/>
  <c r="D809" i="1" s="1"/>
  <c r="C856" i="1"/>
  <c r="D856" i="1" s="1"/>
  <c r="C616" i="1"/>
  <c r="D616" i="1" s="1"/>
  <c r="C196" i="1"/>
  <c r="D196" i="1" s="1"/>
  <c r="C451" i="1"/>
  <c r="D451" i="1" s="1"/>
  <c r="C903" i="1"/>
  <c r="D903" i="1" s="1"/>
  <c r="C822" i="1"/>
  <c r="D822" i="1" s="1"/>
  <c r="C487" i="1"/>
  <c r="D487" i="1" s="1"/>
  <c r="C511" i="1"/>
  <c r="D511" i="1" s="1"/>
  <c r="C777" i="1"/>
  <c r="D777" i="1" s="1"/>
  <c r="C804" i="1"/>
  <c r="D804" i="1" s="1"/>
  <c r="C407" i="1"/>
  <c r="D407" i="1" s="1"/>
  <c r="C545" i="1"/>
  <c r="D545" i="1" s="1"/>
  <c r="C489" i="1"/>
  <c r="D489" i="1" s="1"/>
  <c r="C681" i="1"/>
  <c r="D681" i="1" s="1"/>
  <c r="C883" i="1"/>
  <c r="D883" i="1" s="1"/>
  <c r="C118" i="1"/>
  <c r="D118" i="1" s="1"/>
  <c r="C462" i="1"/>
  <c r="D462" i="1" s="1"/>
  <c r="C594" i="1"/>
  <c r="D594" i="1" s="1"/>
  <c r="C961" i="1"/>
  <c r="D961" i="1" s="1"/>
  <c r="C197" i="1"/>
  <c r="D197" i="1" s="1"/>
  <c r="C109" i="1"/>
  <c r="D109" i="1" s="1"/>
  <c r="C21" i="1"/>
  <c r="D21" i="1" s="1"/>
  <c r="C93" i="1"/>
  <c r="D93" i="1" s="1"/>
  <c r="C104" i="1"/>
  <c r="D104" i="1" s="1"/>
  <c r="C416" i="1"/>
  <c r="D416" i="1" s="1"/>
  <c r="C285" i="1"/>
  <c r="D285" i="1" s="1"/>
  <c r="C503" i="1"/>
  <c r="D503" i="1" s="1"/>
  <c r="C413" i="1"/>
  <c r="D413" i="1" s="1"/>
  <c r="C28" i="1"/>
  <c r="D28" i="1" s="1"/>
  <c r="C805" i="1"/>
  <c r="D805" i="1" s="1"/>
  <c r="C721" i="1"/>
  <c r="D721" i="1" s="1"/>
  <c r="C586" i="1"/>
  <c r="D586" i="1" s="1"/>
  <c r="C601" i="1"/>
  <c r="D601" i="1" s="1"/>
  <c r="C482" i="1"/>
  <c r="D482" i="1" s="1"/>
  <c r="C571" i="1"/>
  <c r="D571" i="1" s="1"/>
  <c r="C34" i="1"/>
  <c r="D34" i="1" s="1"/>
  <c r="C741" i="1"/>
  <c r="D741" i="1" s="1"/>
  <c r="C449" i="1"/>
  <c r="D449" i="1" s="1"/>
  <c r="C312" i="1"/>
  <c r="D312" i="1" s="1"/>
  <c r="C474" i="1"/>
  <c r="D474" i="1" s="1"/>
  <c r="C581" i="1"/>
  <c r="D581" i="1" s="1"/>
  <c r="C539" i="1"/>
  <c r="D539" i="1" s="1"/>
  <c r="C686" i="1"/>
  <c r="D686" i="1" s="1"/>
  <c r="C737" i="1"/>
  <c r="D737" i="1" s="1"/>
  <c r="C727" i="1"/>
  <c r="D727" i="1" s="1"/>
  <c r="C421" i="1"/>
  <c r="D421" i="1" s="1"/>
  <c r="C561" i="1"/>
  <c r="D561" i="1" s="1"/>
  <c r="C556" i="1"/>
  <c r="D556" i="1" s="1"/>
  <c r="C68" i="1"/>
  <c r="D68" i="1" s="1"/>
  <c r="C113" i="1"/>
  <c r="D113" i="1" s="1"/>
  <c r="C345" i="1"/>
  <c r="D345" i="1" s="1"/>
  <c r="C886" i="1"/>
  <c r="D886" i="1" s="1"/>
  <c r="C949" i="1"/>
  <c r="D949" i="1" s="1"/>
  <c r="C987" i="1"/>
  <c r="D987" i="1" s="1"/>
  <c r="C79" i="1"/>
  <c r="D79" i="1" s="1"/>
  <c r="C439" i="1"/>
  <c r="D439" i="1" s="1"/>
  <c r="C85" i="1"/>
  <c r="D85" i="1" s="1"/>
  <c r="C502" i="1"/>
  <c r="D502" i="1" s="1"/>
  <c r="C260" i="1"/>
  <c r="D260" i="1" s="1"/>
  <c r="C233" i="1"/>
  <c r="D233" i="1" s="1"/>
  <c r="C527" i="1"/>
  <c r="D527" i="1" s="1"/>
  <c r="C478" i="1"/>
  <c r="D478" i="1" s="1"/>
  <c r="C884" i="1"/>
  <c r="D884" i="1" s="1"/>
  <c r="C575" i="1"/>
  <c r="D575" i="1" s="1"/>
  <c r="C956" i="1"/>
  <c r="D956" i="1" s="1"/>
  <c r="C869" i="1"/>
  <c r="D869" i="1" s="1"/>
  <c r="C304" i="1"/>
  <c r="D304" i="1" s="1"/>
  <c r="C189" i="1"/>
  <c r="D189" i="1" s="1"/>
  <c r="C271" i="1"/>
  <c r="D271" i="1" s="1"/>
  <c r="C613" i="1"/>
  <c r="D613" i="1" s="1"/>
  <c r="C371" i="1"/>
  <c r="D371" i="1" s="1"/>
  <c r="C373" i="1"/>
  <c r="D373" i="1" s="1"/>
  <c r="C130" i="1"/>
  <c r="D130" i="1" s="1"/>
  <c r="J2" i="1" l="1"/>
  <c r="J18" i="1" s="1"/>
  <c r="J19" i="1" s="1"/>
</calcChain>
</file>

<file path=xl/sharedStrings.xml><?xml version="1.0" encoding="utf-8"?>
<sst xmlns="http://schemas.openxmlformats.org/spreadsheetml/2006/main" count="165" uniqueCount="118">
  <si>
    <t>Replication</t>
  </si>
  <si>
    <t>U1</t>
    <phoneticPr fontId="1" type="noConversion"/>
  </si>
  <si>
    <t>Posi of U1 in rev  CDF</t>
    <phoneticPr fontId="3" type="noConversion"/>
  </si>
  <si>
    <t>D1</t>
    <phoneticPr fontId="3" type="noConversion"/>
  </si>
  <si>
    <t>leftover</t>
    <phoneticPr fontId="3" type="noConversion"/>
  </si>
  <si>
    <t>Profit</t>
    <phoneticPr fontId="3" type="noConversion"/>
  </si>
  <si>
    <t>Produce</t>
    <phoneticPr fontId="3" type="noConversion"/>
  </si>
  <si>
    <t>D1 Cases</t>
    <phoneticPr fontId="3" type="noConversion"/>
  </si>
  <si>
    <t>PMF</t>
    <phoneticPr fontId="3" type="noConversion"/>
  </si>
  <si>
    <t>Reverse CDF</t>
    <phoneticPr fontId="3" type="noConversion"/>
  </si>
  <si>
    <t>Sales</t>
    <phoneticPr fontId="3" type="noConversion"/>
  </si>
  <si>
    <t>Profit</t>
    <phoneticPr fontId="1" type="noConversion"/>
  </si>
  <si>
    <t>Max Profit</t>
    <phoneticPr fontId="3" type="noConversion"/>
  </si>
  <si>
    <t>Optimal produce</t>
    <phoneticPr fontId="3" type="noConversion"/>
  </si>
  <si>
    <t>U2</t>
    <phoneticPr fontId="1" type="noConversion"/>
  </si>
  <si>
    <t>Sales random term</t>
    <phoneticPr fontId="1" type="noConversion"/>
  </si>
  <si>
    <t>Market</t>
  </si>
  <si>
    <t>Good</t>
  </si>
  <si>
    <t>Fair</t>
  </si>
  <si>
    <t>Poor</t>
  </si>
  <si>
    <t>Ad Types</t>
  </si>
  <si>
    <t>High Comp.</t>
  </si>
  <si>
    <t>Low Comp.</t>
  </si>
  <si>
    <t>TikTok (TT)</t>
  </si>
  <si>
    <t>Instagram (INST)</t>
  </si>
  <si>
    <t>No ads</t>
  </si>
  <si>
    <t>N/A</t>
  </si>
  <si>
    <t>TT(Cost per click)</t>
  </si>
  <si>
    <t>INST(Cost per click)</t>
  </si>
  <si>
    <t>Regret Table</t>
  </si>
  <si>
    <t>MAX</t>
  </si>
  <si>
    <t>Minutes</t>
    <phoneticPr fontId="3" type="noConversion"/>
  </si>
  <si>
    <t>U1</t>
  </si>
  <si>
    <t>Demand</t>
    <phoneticPr fontId="3" type="noConversion"/>
  </si>
  <si>
    <t>Queue length</t>
  </si>
  <si>
    <t>Abandoned</t>
    <phoneticPr fontId="3" type="noConversion"/>
  </si>
  <si>
    <t>Demand</t>
  </si>
  <si>
    <t>prob</t>
  </si>
  <si>
    <t>cum prob</t>
  </si>
  <si>
    <t>Max Queue Length</t>
    <phoneticPr fontId="3" type="noConversion"/>
  </si>
  <si>
    <t>Num of machine</t>
    <phoneticPr fontId="3" type="noConversion"/>
  </si>
  <si>
    <t>profit</t>
  </si>
  <si>
    <t>Machine Price</t>
    <phoneticPr fontId="3" type="noConversion"/>
  </si>
  <si>
    <t xml:space="preserve">Decision Variables </t>
  </si>
  <si>
    <t xml:space="preserve">Full Time Employees </t>
  </si>
  <si>
    <t>Part Time Employees</t>
  </si>
  <si>
    <t>How many to hire such that we can reduce the cost and increase efficiency as well</t>
  </si>
  <si>
    <t xml:space="preserve">Information Criteria </t>
  </si>
  <si>
    <t>Cost of hiring  each of these employees that is salary per year</t>
  </si>
  <si>
    <t>How many hours they can spend for this activity in the mornings</t>
  </si>
  <si>
    <t xml:space="preserve">Time Taken for each of these activities </t>
  </si>
  <si>
    <t>Buton</t>
  </si>
  <si>
    <t>Black</t>
  </si>
  <si>
    <t>Green</t>
  </si>
  <si>
    <t>Prepare</t>
  </si>
  <si>
    <t>Boil</t>
  </si>
  <si>
    <t>Sit</t>
  </si>
  <si>
    <t>Refill</t>
  </si>
  <si>
    <t>Clean</t>
  </si>
  <si>
    <t>Marketing</t>
  </si>
  <si>
    <t xml:space="preserve">Total Preparation Time </t>
  </si>
  <si>
    <t xml:space="preserve">(Converting to hours) </t>
  </si>
  <si>
    <t xml:space="preserve">Objective Function </t>
  </si>
  <si>
    <t xml:space="preserve">(Minimizing Cost) </t>
  </si>
  <si>
    <t>Constraints</t>
  </si>
  <si>
    <t xml:space="preserve">Full Time </t>
  </si>
  <si>
    <t xml:space="preserve">Part Time </t>
  </si>
  <si>
    <t xml:space="preserve">Sum </t>
  </si>
  <si>
    <t xml:space="preserve">Prepation Time </t>
  </si>
  <si>
    <t xml:space="preserve">Button Tea Preparation </t>
  </si>
  <si>
    <t xml:space="preserve">&gt;= </t>
  </si>
  <si>
    <t>&gt;=</t>
    <phoneticPr fontId="3" type="noConversion"/>
  </si>
  <si>
    <t xml:space="preserve">Black  Tea Preparation </t>
  </si>
  <si>
    <t xml:space="preserve">Green Tea Preparation </t>
  </si>
  <si>
    <t xml:space="preserve">Note: One of the constraints is the owner doesn’t want to hire more than 4 people in total, as there wont be any space left in the kitchen as well </t>
  </si>
  <si>
    <t>Formatted Equation:</t>
    <phoneticPr fontId="1" type="noConversion"/>
  </si>
  <si>
    <t>Microsoft Excel 16.0 Answer Report</t>
  </si>
  <si>
    <t>Worksheet: [Simulation1.xlsx]Optimization-Employee</t>
  </si>
  <si>
    <t>Report Created: 2025/12/21 12:48:09</t>
  </si>
  <si>
    <t>Result: Solver found a solution.  All Constraints and optimality conditions are satisfied.</t>
  </si>
  <si>
    <t>Solver Engine</t>
  </si>
  <si>
    <t>Engine: Simplex LP</t>
  </si>
  <si>
    <t>Solution Time: 0.172 Seconds.</t>
  </si>
  <si>
    <t>Iterations: 1 Subproblems: 2</t>
  </si>
  <si>
    <t>Solver Options</t>
  </si>
  <si>
    <t>Max Time Unlimited,  Iterations Unlimited, Precision 0.000001, Use Automatic Scaling</t>
  </si>
  <si>
    <t>Max Subproblems Unlimited, Max Integer Sols Unlimited, Integer Tolerance 1%, Assume NonNegative</t>
  </si>
  <si>
    <t>Objective Cell (Min)</t>
  </si>
  <si>
    <t>Cell</t>
  </si>
  <si>
    <t>Name</t>
  </si>
  <si>
    <t>Original Value</t>
  </si>
  <si>
    <t>Final Value</t>
  </si>
  <si>
    <t>Variable Cells</t>
  </si>
  <si>
    <t>Integer</t>
  </si>
  <si>
    <t>Cell Value</t>
  </si>
  <si>
    <t>Formula</t>
  </si>
  <si>
    <t>Status</t>
  </si>
  <si>
    <t>Slack</t>
  </si>
  <si>
    <t>$B$20</t>
  </si>
  <si>
    <t>Objective Function  Buton</t>
  </si>
  <si>
    <t>$B$3</t>
  </si>
  <si>
    <t xml:space="preserve">How many to hire such that we can reduce the cost and increase efficiency as well Full Time Employees </t>
  </si>
  <si>
    <t>$C$3</t>
  </si>
  <si>
    <t>How many to hire such that we can reduce the cost and increase efficiency as well Part Time Employees</t>
  </si>
  <si>
    <t>$C$31</t>
  </si>
  <si>
    <t>$C$31&gt;=$E$31</t>
  </si>
  <si>
    <t>Not Binding</t>
  </si>
  <si>
    <t>$D$25</t>
  </si>
  <si>
    <t xml:space="preserve">Button Tea Preparation  Sum </t>
  </si>
  <si>
    <t>$D$25&gt;=$F$25</t>
  </si>
  <si>
    <t>$D$26</t>
  </si>
  <si>
    <t xml:space="preserve">Black  Tea Preparation  Sum </t>
  </si>
  <si>
    <t>$D$26&gt;=$F$26</t>
  </si>
  <si>
    <t>$D$27</t>
  </si>
  <si>
    <t xml:space="preserve">Green Tea Preparation  Sum </t>
  </si>
  <si>
    <t>$D$27&gt;=$F$27</t>
  </si>
  <si>
    <t>$B$3:$C$3=Integer</t>
  </si>
  <si>
    <t>Integer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</si>
</sst>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24" formatCode="\$#,##0_);[Red]\(\$#,##0\)"/>
    <numFmt numFmtId="176" formatCode="&quot;$&quot;#,##0.00_);[Red]\(&quot;$&quot;#,##0.00\)"/>
  </numFmts>
  <fonts count="1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b/>
      <sz val="12"/>
      <color theme="1"/>
      <name val="等线"/>
      <family val="2"/>
      <scheme val="minor"/>
    </font>
    <font>
      <sz val="12"/>
      <color indexed="8"/>
      <name val="等线"/>
      <family val="3"/>
      <charset val="134"/>
    </font>
    <font>
      <b/>
      <sz val="12"/>
      <color indexed="8"/>
      <name val="等线"/>
      <family val="3"/>
      <charset val="134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color rgb="FF000000"/>
      <name val="等线"/>
      <family val="3"/>
      <charset val="134"/>
      <scheme val="minor"/>
    </font>
    <font>
      <sz val="12"/>
      <color rgb="FF000000"/>
      <name val="Times New Roman"/>
      <family val="1"/>
    </font>
    <font>
      <b/>
      <sz val="11"/>
      <color theme="1"/>
      <name val="等线"/>
      <family val="3"/>
      <charset val="134"/>
      <scheme val="minor"/>
    </font>
    <font>
      <b/>
      <sz val="11"/>
      <color indexed="18"/>
      <name val="等线"/>
      <family val="2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4" tint="0.79995117038483843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</borders>
  <cellStyleXfs count="1">
    <xf numFmtId="0" fontId="0" fillId="0" borderId="0">
      <alignment vertical="center"/>
    </xf>
  </cellStyleXfs>
  <cellXfs count="39">
    <xf numFmtId="0" fontId="0" fillId="0" borderId="0" xfId="0">
      <alignment vertical="center"/>
    </xf>
    <xf numFmtId="0" fontId="0" fillId="0" borderId="0" xfId="0" applyAlignment="1"/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4" fillId="4" borderId="0" xfId="0" applyFont="1" applyFill="1" applyAlignment="1">
      <alignment horizontal="center"/>
    </xf>
    <xf numFmtId="0" fontId="4" fillId="5" borderId="0" xfId="0" applyFont="1" applyFill="1" applyAlignment="1"/>
    <xf numFmtId="0" fontId="5" fillId="0" borderId="0" xfId="0" applyFont="1" applyAlignment="1"/>
    <xf numFmtId="176" fontId="0" fillId="0" borderId="0" xfId="0" applyNumberFormat="1" applyAlignment="1"/>
    <xf numFmtId="0" fontId="0" fillId="5" borderId="0" xfId="0" applyFill="1" applyAlignment="1"/>
    <xf numFmtId="0" fontId="6" fillId="0" borderId="0" xfId="0" applyFont="1" applyAlignment="1"/>
    <xf numFmtId="24" fontId="0" fillId="0" borderId="0" xfId="0" applyNumberFormat="1" applyAlignment="1"/>
    <xf numFmtId="0" fontId="0" fillId="2" borderId="0" xfId="0" applyFill="1" applyAlignment="1"/>
    <xf numFmtId="0" fontId="6" fillId="2" borderId="0" xfId="0" applyFont="1" applyFill="1" applyAlignment="1"/>
    <xf numFmtId="0" fontId="6" fillId="6" borderId="0" xfId="0" applyFont="1" applyFill="1" applyAlignment="1"/>
    <xf numFmtId="0" fontId="7" fillId="6" borderId="0" xfId="0" applyFont="1" applyFill="1" applyAlignment="1"/>
    <xf numFmtId="0" fontId="5" fillId="6" borderId="0" xfId="0" applyFont="1" applyFill="1" applyAlignment="1"/>
    <xf numFmtId="176" fontId="0" fillId="6" borderId="0" xfId="0" applyNumberFormat="1" applyFill="1" applyAlignment="1"/>
    <xf numFmtId="0" fontId="0" fillId="2" borderId="0" xfId="0" applyFill="1" applyAlignment="1">
      <alignment horizontal="center"/>
    </xf>
    <xf numFmtId="0" fontId="2" fillId="0" borderId="0" xfId="0" applyFont="1" applyAlignment="1"/>
    <xf numFmtId="0" fontId="4" fillId="0" borderId="0" xfId="0" applyFont="1" applyAlignment="1"/>
    <xf numFmtId="0" fontId="0" fillId="0" borderId="0" xfId="0" applyAlignment="1">
      <alignment wrapText="1"/>
    </xf>
    <xf numFmtId="3" fontId="0" fillId="7" borderId="0" xfId="0" applyNumberFormat="1" applyFill="1" applyAlignment="1"/>
    <xf numFmtId="3" fontId="0" fillId="0" borderId="0" xfId="0" applyNumberFormat="1" applyAlignment="1"/>
    <xf numFmtId="0" fontId="8" fillId="0" borderId="0" xfId="0" applyFont="1" applyAlignment="1"/>
    <xf numFmtId="0" fontId="9" fillId="0" borderId="0" xfId="0" applyFont="1" applyAlignment="1"/>
    <xf numFmtId="0" fontId="10" fillId="7" borderId="0" xfId="0" applyFont="1" applyFill="1" applyAlignment="1"/>
    <xf numFmtId="0" fontId="10" fillId="0" borderId="0" xfId="0" applyFont="1" applyAlignment="1"/>
    <xf numFmtId="0" fontId="11" fillId="0" borderId="0" xfId="0" applyFont="1" applyAlignment="1"/>
    <xf numFmtId="0" fontId="10" fillId="8" borderId="0" xfId="0" applyFont="1" applyFill="1" applyAlignment="1"/>
    <xf numFmtId="2" fontId="10" fillId="8" borderId="0" xfId="0" applyNumberFormat="1" applyFont="1" applyFill="1" applyAlignment="1"/>
    <xf numFmtId="0" fontId="12" fillId="0" borderId="0" xfId="0" applyFont="1">
      <alignment vertical="center"/>
    </xf>
    <xf numFmtId="0" fontId="0" fillId="0" borderId="2" xfId="0" applyFill="1" applyBorder="1" applyAlignment="1">
      <alignment vertical="center"/>
    </xf>
    <xf numFmtId="0" fontId="13" fillId="0" borderId="1" xfId="0" applyFont="1" applyFill="1" applyBorder="1" applyAlignment="1">
      <alignment horizontal="center" vertical="center"/>
    </xf>
    <xf numFmtId="0" fontId="0" fillId="0" borderId="3" xfId="0" applyFill="1" applyBorder="1" applyAlignment="1">
      <alignment vertical="center"/>
    </xf>
    <xf numFmtId="0" fontId="0" fillId="0" borderId="2" xfId="0" applyNumberFormat="1" applyFill="1" applyBorder="1" applyAlignment="1">
      <alignment vertical="center"/>
    </xf>
    <xf numFmtId="0" fontId="0" fillId="0" borderId="3" xfId="0" applyNumberFormat="1" applyFill="1" applyBorder="1" applyAlignment="1">
      <alignment vertical="center"/>
    </xf>
    <xf numFmtId="0" fontId="12" fillId="5" borderId="0" xfId="0" applyFont="1" applyFill="1" applyAlignment="1"/>
    <xf numFmtId="0" fontId="1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219FE-612C-4995-85ED-03A54C94AA77}">
  <sheetPr>
    <tabColor rgb="FF00B0F0"/>
  </sheetPr>
  <dimension ref="A1:H20"/>
  <sheetViews>
    <sheetView workbookViewId="0">
      <selection activeCell="I22" sqref="I22"/>
    </sheetView>
  </sheetViews>
  <sheetFormatPr defaultRowHeight="13.8" x14ac:dyDescent="0.25"/>
  <cols>
    <col min="1" max="1" width="23" style="1" customWidth="1"/>
    <col min="2" max="2" width="11.77734375" style="1" bestFit="1" customWidth="1"/>
    <col min="3" max="3" width="11.21875" style="1" bestFit="1" customWidth="1"/>
    <col min="4" max="4" width="11.77734375" style="1" bestFit="1" customWidth="1"/>
    <col min="5" max="5" width="11.21875" style="1" bestFit="1" customWidth="1"/>
    <col min="6" max="6" width="11.77734375" style="1" bestFit="1" customWidth="1"/>
    <col min="7" max="7" width="11.21875" style="1" bestFit="1" customWidth="1"/>
    <col min="8" max="8" width="8.88671875" style="1"/>
  </cols>
  <sheetData>
    <row r="1" spans="1:8" ht="15.6" x14ac:dyDescent="0.3">
      <c r="A1" s="7" t="s">
        <v>16</v>
      </c>
      <c r="B1" s="7" t="s">
        <v>17</v>
      </c>
      <c r="C1" s="7"/>
      <c r="D1" s="7" t="s">
        <v>18</v>
      </c>
      <c r="E1" s="7"/>
      <c r="F1" s="7" t="s">
        <v>19</v>
      </c>
    </row>
    <row r="2" spans="1:8" ht="15.6" x14ac:dyDescent="0.3">
      <c r="A2" s="7" t="s">
        <v>20</v>
      </c>
      <c r="B2" s="1" t="s">
        <v>21</v>
      </c>
      <c r="C2" s="1" t="s">
        <v>22</v>
      </c>
      <c r="D2" s="1" t="s">
        <v>21</v>
      </c>
      <c r="E2" s="1" t="s">
        <v>22</v>
      </c>
      <c r="F2" s="1" t="s">
        <v>21</v>
      </c>
      <c r="G2" s="1" t="s">
        <v>22</v>
      </c>
    </row>
    <row r="3" spans="1:8" ht="15.6" x14ac:dyDescent="0.3">
      <c r="A3" s="7" t="s">
        <v>23</v>
      </c>
      <c r="B3" s="1">
        <v>0.46</v>
      </c>
      <c r="C3" s="1">
        <v>0.55000000000000004</v>
      </c>
      <c r="D3" s="1">
        <v>0.2</v>
      </c>
      <c r="E3" s="1">
        <v>0.27</v>
      </c>
      <c r="F3" s="1">
        <v>0.03</v>
      </c>
      <c r="G3" s="1">
        <v>0.15</v>
      </c>
    </row>
    <row r="4" spans="1:8" ht="15.6" x14ac:dyDescent="0.3">
      <c r="A4" s="7" t="s">
        <v>24</v>
      </c>
      <c r="B4" s="1">
        <v>0.35</v>
      </c>
      <c r="C4" s="1">
        <v>0.4</v>
      </c>
      <c r="D4" s="1">
        <v>0.22</v>
      </c>
      <c r="E4" s="1">
        <v>0.24</v>
      </c>
      <c r="F4" s="1">
        <v>0.06</v>
      </c>
      <c r="G4" s="1">
        <v>0.12</v>
      </c>
    </row>
    <row r="5" spans="1:8" ht="15.6" x14ac:dyDescent="0.3">
      <c r="A5" s="7" t="s">
        <v>25</v>
      </c>
      <c r="B5" s="1">
        <v>0.3</v>
      </c>
      <c r="C5" s="1" t="s">
        <v>26</v>
      </c>
      <c r="D5" s="1">
        <f>0.18</f>
        <v>0.18</v>
      </c>
      <c r="E5" s="1" t="s">
        <v>26</v>
      </c>
      <c r="F5" s="1">
        <v>0.02</v>
      </c>
      <c r="G5" s="1">
        <v>0.1</v>
      </c>
    </row>
    <row r="8" spans="1:8" ht="15.6" x14ac:dyDescent="0.3">
      <c r="A8" s="16" t="s">
        <v>27</v>
      </c>
      <c r="B8" s="17">
        <v>1</v>
      </c>
    </row>
    <row r="9" spans="1:8" ht="15.6" x14ac:dyDescent="0.3">
      <c r="A9" s="16" t="s">
        <v>28</v>
      </c>
      <c r="B9" s="17">
        <v>0.55000000000000004</v>
      </c>
    </row>
    <row r="11" spans="1:8" x14ac:dyDescent="0.25">
      <c r="A11" s="18" t="s">
        <v>29</v>
      </c>
      <c r="B11" s="18"/>
      <c r="C11" s="18"/>
      <c r="D11" s="18"/>
      <c r="E11" s="18"/>
      <c r="F11" s="18"/>
      <c r="G11" s="18"/>
      <c r="H11" s="18"/>
    </row>
    <row r="12" spans="1:8" ht="15.6" x14ac:dyDescent="0.3">
      <c r="A12" s="7" t="s">
        <v>16</v>
      </c>
      <c r="B12" s="7" t="s">
        <v>17</v>
      </c>
      <c r="C12" s="7"/>
      <c r="D12" s="7" t="s">
        <v>18</v>
      </c>
      <c r="E12" s="7"/>
      <c r="F12" s="7" t="s">
        <v>19</v>
      </c>
    </row>
    <row r="13" spans="1:8" ht="15.6" x14ac:dyDescent="0.3">
      <c r="A13" s="7" t="s">
        <v>20</v>
      </c>
      <c r="B13" s="1" t="s">
        <v>21</v>
      </c>
      <c r="C13" s="1" t="s">
        <v>22</v>
      </c>
      <c r="D13" s="1" t="s">
        <v>21</v>
      </c>
      <c r="E13" s="1" t="s">
        <v>22</v>
      </c>
      <c r="F13" s="1" t="s">
        <v>21</v>
      </c>
      <c r="G13" s="1" t="s">
        <v>22</v>
      </c>
      <c r="H13" s="7" t="s">
        <v>30</v>
      </c>
    </row>
    <row r="14" spans="1:8" ht="15.6" x14ac:dyDescent="0.3">
      <c r="A14" s="7" t="s">
        <v>23</v>
      </c>
      <c r="B14" s="1">
        <f>B3-0.46</f>
        <v>0</v>
      </c>
      <c r="C14" s="1">
        <f>C3-0.55</f>
        <v>0</v>
      </c>
      <c r="D14" s="1">
        <f>D4-0.2</f>
        <v>1.999999999999999E-2</v>
      </c>
      <c r="E14" s="1">
        <f>E3-0.27</f>
        <v>0</v>
      </c>
      <c r="F14" s="1">
        <f>F4-0.03</f>
        <v>0.03</v>
      </c>
      <c r="G14" s="1">
        <f>G3-0.15</f>
        <v>0</v>
      </c>
      <c r="H14" s="9">
        <v>0.03</v>
      </c>
    </row>
    <row r="15" spans="1:8" ht="15.6" x14ac:dyDescent="0.3">
      <c r="A15" s="7" t="s">
        <v>24</v>
      </c>
      <c r="B15" s="1">
        <f>B3-0.35</f>
        <v>0.11000000000000004</v>
      </c>
      <c r="C15" s="1">
        <f>C3-0.4</f>
        <v>0.15000000000000002</v>
      </c>
      <c r="D15" s="1">
        <f>D4-0.22</f>
        <v>0</v>
      </c>
      <c r="E15" s="1">
        <f>E3-0.24</f>
        <v>3.0000000000000027E-2</v>
      </c>
      <c r="F15" s="1">
        <f>F4-0.06</f>
        <v>0</v>
      </c>
      <c r="G15" s="1">
        <f>G3-0.12</f>
        <v>0.03</v>
      </c>
      <c r="H15" s="1">
        <v>0.15</v>
      </c>
    </row>
    <row r="16" spans="1:8" ht="15.6" x14ac:dyDescent="0.3">
      <c r="A16" s="7" t="s">
        <v>25</v>
      </c>
      <c r="B16" s="1">
        <f>B3-0.3</f>
        <v>0.16000000000000003</v>
      </c>
      <c r="C16" s="1" t="s">
        <v>26</v>
      </c>
      <c r="D16" s="1">
        <f>D4-D5</f>
        <v>4.0000000000000008E-2</v>
      </c>
      <c r="E16" s="1" t="s">
        <v>26</v>
      </c>
      <c r="F16" s="1">
        <f>F4-0.02</f>
        <v>3.9999999999999994E-2</v>
      </c>
      <c r="G16" s="1">
        <f>G5-0.1</f>
        <v>0</v>
      </c>
      <c r="H16" s="1">
        <v>0.16</v>
      </c>
    </row>
    <row r="19" spans="1:2" ht="15.6" x14ac:dyDescent="0.3">
      <c r="A19" s="7" t="s">
        <v>27</v>
      </c>
      <c r="B19" s="8">
        <v>1</v>
      </c>
    </row>
    <row r="20" spans="1:2" ht="15.6" x14ac:dyDescent="0.3">
      <c r="A20" s="7" t="s">
        <v>28</v>
      </c>
      <c r="B20" s="8">
        <v>0.55000000000000004</v>
      </c>
    </row>
  </sheetData>
  <mergeCells count="1">
    <mergeCell ref="A11:H1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F0205-AB1C-423A-9AB0-FCC74055684D}">
  <sheetPr>
    <tabColor theme="9" tint="0.39997558519241921"/>
  </sheetPr>
  <dimension ref="A1:L36"/>
  <sheetViews>
    <sheetView tabSelected="1" workbookViewId="0">
      <selection activeCell="A5" sqref="A5"/>
    </sheetView>
  </sheetViews>
  <sheetFormatPr defaultRowHeight="13.8" x14ac:dyDescent="0.25"/>
  <cols>
    <col min="1" max="1" width="44.33203125" customWidth="1"/>
    <col min="2" max="2" width="20.21875" bestFit="1" customWidth="1"/>
    <col min="3" max="3" width="20.109375" bestFit="1" customWidth="1"/>
  </cols>
  <sheetData>
    <row r="1" spans="1:12" ht="15.6" x14ac:dyDescent="0.3">
      <c r="A1" s="19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5.6" x14ac:dyDescent="0.3">
      <c r="A2" s="20" t="s">
        <v>43</v>
      </c>
      <c r="B2" s="1" t="s">
        <v>44</v>
      </c>
      <c r="C2" s="1" t="s">
        <v>45</v>
      </c>
      <c r="D2" s="1"/>
      <c r="E2" s="1"/>
      <c r="F2" s="1"/>
      <c r="G2" s="1"/>
      <c r="H2" s="1"/>
      <c r="I2" s="1"/>
      <c r="J2" s="1"/>
      <c r="K2" s="1"/>
      <c r="L2" s="1"/>
    </row>
    <row r="3" spans="1:12" ht="12" customHeight="1" x14ac:dyDescent="0.25">
      <c r="A3" s="21" t="s">
        <v>46</v>
      </c>
      <c r="B3" s="37">
        <v>0</v>
      </c>
      <c r="C3" s="37">
        <v>3</v>
      </c>
      <c r="D3" s="1"/>
      <c r="E3" s="1"/>
      <c r="F3" s="1"/>
      <c r="G3" s="1"/>
      <c r="H3" s="1"/>
      <c r="I3" s="1"/>
      <c r="J3" s="1"/>
      <c r="K3" s="1"/>
      <c r="L3" s="1"/>
    </row>
    <row r="4" spans="1:12" x14ac:dyDescent="0.25">
      <c r="A4" s="1"/>
      <c r="B4" s="38"/>
      <c r="C4" s="38"/>
      <c r="D4" s="1"/>
      <c r="E4" s="1"/>
      <c r="F4" s="1"/>
      <c r="G4" s="1"/>
      <c r="H4" s="1"/>
      <c r="I4" s="1"/>
      <c r="J4" s="1"/>
      <c r="K4" s="1"/>
      <c r="L4" s="1"/>
    </row>
    <row r="5" spans="1:12" ht="15.6" x14ac:dyDescent="0.3">
      <c r="A5" s="20" t="s">
        <v>47</v>
      </c>
      <c r="B5" s="1" t="s">
        <v>44</v>
      </c>
      <c r="C5" s="1" t="s">
        <v>45</v>
      </c>
      <c r="D5" s="1"/>
      <c r="E5" s="1"/>
      <c r="F5" s="1"/>
      <c r="G5" s="1"/>
      <c r="H5" s="1"/>
      <c r="I5" s="1"/>
      <c r="J5" s="1"/>
      <c r="K5" s="1"/>
      <c r="L5" s="1"/>
    </row>
    <row r="6" spans="1:12" ht="32.4" customHeight="1" x14ac:dyDescent="0.25">
      <c r="A6" s="21" t="s">
        <v>48</v>
      </c>
      <c r="B6" s="22">
        <v>25000</v>
      </c>
      <c r="C6" s="22">
        <v>10000</v>
      </c>
      <c r="D6" s="1"/>
      <c r="E6" s="1"/>
      <c r="F6" s="1"/>
      <c r="G6" s="1"/>
      <c r="H6" s="1"/>
      <c r="I6" s="1"/>
      <c r="J6" s="1"/>
      <c r="K6" s="1"/>
      <c r="L6" s="1"/>
    </row>
    <row r="7" spans="1:12" ht="30" customHeight="1" x14ac:dyDescent="0.25">
      <c r="A7" s="21" t="s">
        <v>49</v>
      </c>
      <c r="B7" s="22">
        <v>4</v>
      </c>
      <c r="C7" s="22">
        <v>2</v>
      </c>
      <c r="D7" s="1"/>
      <c r="E7" s="1"/>
      <c r="F7" s="1"/>
      <c r="G7" s="1"/>
      <c r="H7" s="1"/>
      <c r="I7" s="1"/>
      <c r="J7" s="1"/>
      <c r="K7" s="1"/>
      <c r="L7" s="1"/>
    </row>
    <row r="8" spans="1:12" x14ac:dyDescent="0.25">
      <c r="A8" s="21"/>
      <c r="B8" s="23"/>
      <c r="C8" s="23"/>
      <c r="D8" s="1"/>
      <c r="E8" s="1"/>
      <c r="F8" s="1"/>
      <c r="G8" s="1"/>
      <c r="H8" s="1"/>
      <c r="I8" s="1"/>
      <c r="J8" s="1"/>
      <c r="K8" s="1"/>
      <c r="L8" s="1"/>
    </row>
    <row r="9" spans="1:12" x14ac:dyDescent="0.25">
      <c r="A9" s="21" t="s">
        <v>50</v>
      </c>
      <c r="B9" s="23"/>
      <c r="C9" s="23"/>
      <c r="D9" s="1"/>
      <c r="E9" s="1"/>
      <c r="F9" s="1"/>
      <c r="G9" s="1"/>
      <c r="H9" s="1"/>
      <c r="I9" s="1"/>
      <c r="J9" s="1"/>
      <c r="K9" s="1"/>
      <c r="L9" s="1"/>
    </row>
    <row r="10" spans="1:12" ht="15.6" x14ac:dyDescent="0.3">
      <c r="A10" s="24"/>
      <c r="B10" s="25" t="s">
        <v>51</v>
      </c>
      <c r="C10" s="25" t="s">
        <v>52</v>
      </c>
      <c r="D10" s="25" t="s">
        <v>53</v>
      </c>
      <c r="E10" s="1"/>
      <c r="F10" s="1"/>
      <c r="G10" s="1"/>
      <c r="H10" s="1"/>
      <c r="I10" s="1"/>
      <c r="J10" s="1"/>
      <c r="K10" s="1"/>
      <c r="L10" s="1"/>
    </row>
    <row r="11" spans="1:12" ht="15.6" x14ac:dyDescent="0.3">
      <c r="A11" s="25" t="s">
        <v>54</v>
      </c>
      <c r="B11" s="26">
        <v>15</v>
      </c>
      <c r="C11" s="26">
        <v>17</v>
      </c>
      <c r="D11" s="26">
        <v>6.5</v>
      </c>
      <c r="E11" s="1"/>
      <c r="F11" s="1"/>
      <c r="G11" s="1"/>
      <c r="H11" s="1"/>
      <c r="I11" s="1"/>
      <c r="J11" s="1"/>
      <c r="K11" s="1"/>
      <c r="L11" s="1"/>
    </row>
    <row r="12" spans="1:12" ht="15.6" x14ac:dyDescent="0.3">
      <c r="A12" s="25" t="s">
        <v>55</v>
      </c>
      <c r="B12" s="26">
        <v>20</v>
      </c>
      <c r="C12" s="26">
        <v>20</v>
      </c>
      <c r="D12" s="26">
        <v>20</v>
      </c>
      <c r="E12" s="1"/>
      <c r="F12" s="1"/>
      <c r="G12" s="1"/>
      <c r="H12" s="1"/>
      <c r="I12" s="1"/>
      <c r="J12" s="1"/>
      <c r="K12" s="1"/>
      <c r="L12" s="1"/>
    </row>
    <row r="13" spans="1:12" ht="15.6" x14ac:dyDescent="0.3">
      <c r="A13" s="25" t="s">
        <v>56</v>
      </c>
      <c r="B13" s="26">
        <v>20</v>
      </c>
      <c r="C13" s="26">
        <v>20</v>
      </c>
      <c r="D13" s="26">
        <v>20</v>
      </c>
      <c r="E13" s="1"/>
      <c r="F13" s="1"/>
      <c r="G13" s="1"/>
      <c r="H13" s="1"/>
      <c r="I13" s="1"/>
      <c r="J13" s="1"/>
      <c r="K13" s="1"/>
      <c r="L13" s="1"/>
    </row>
    <row r="14" spans="1:12" ht="15.6" x14ac:dyDescent="0.3">
      <c r="A14" s="25" t="s">
        <v>57</v>
      </c>
      <c r="B14" s="26">
        <v>25</v>
      </c>
      <c r="C14" s="26">
        <v>25</v>
      </c>
      <c r="D14" s="26">
        <v>25</v>
      </c>
      <c r="E14" s="1"/>
      <c r="F14" s="1"/>
      <c r="G14" s="1"/>
      <c r="H14" s="1"/>
      <c r="I14" s="1"/>
      <c r="J14" s="1"/>
      <c r="K14" s="1"/>
      <c r="L14" s="1"/>
    </row>
    <row r="15" spans="1:12" ht="15.6" x14ac:dyDescent="0.3">
      <c r="A15" s="25" t="s">
        <v>58</v>
      </c>
      <c r="B15" s="26">
        <v>45</v>
      </c>
      <c r="C15" s="26">
        <v>45</v>
      </c>
      <c r="D15" s="26">
        <v>45</v>
      </c>
      <c r="E15" s="1"/>
      <c r="F15" s="1"/>
      <c r="G15" s="1"/>
      <c r="H15" s="1"/>
      <c r="I15" s="1"/>
      <c r="J15" s="1"/>
      <c r="K15" s="1"/>
      <c r="L15" s="1"/>
    </row>
    <row r="16" spans="1:12" ht="15.6" x14ac:dyDescent="0.3">
      <c r="A16" s="25" t="s">
        <v>59</v>
      </c>
      <c r="B16" s="26">
        <v>10</v>
      </c>
      <c r="C16" s="26">
        <v>10</v>
      </c>
      <c r="D16" s="26">
        <v>10</v>
      </c>
      <c r="E16" s="1"/>
      <c r="F16" s="1"/>
      <c r="G16" s="1"/>
      <c r="H16" s="1"/>
      <c r="I16" s="1"/>
      <c r="J16" s="1"/>
      <c r="K16" s="1"/>
      <c r="L16" s="1"/>
    </row>
    <row r="17" spans="1:12" ht="15.6" x14ac:dyDescent="0.3">
      <c r="A17" s="25" t="s">
        <v>60</v>
      </c>
      <c r="B17" s="27">
        <f>SUM(B11:B16)</f>
        <v>135</v>
      </c>
      <c r="C17" s="27">
        <f t="shared" ref="C17" si="0">SUM(C11:C16)</f>
        <v>137</v>
      </c>
      <c r="D17" s="27">
        <f>SUM(D11:D16)</f>
        <v>126.5</v>
      </c>
      <c r="E17" s="1"/>
      <c r="F17" s="1"/>
      <c r="G17" s="1"/>
      <c r="H17" s="1"/>
      <c r="I17" s="1"/>
      <c r="J17" s="1"/>
      <c r="K17" s="1"/>
      <c r="L17" s="1"/>
    </row>
    <row r="18" spans="1:12" ht="15.6" x14ac:dyDescent="0.3">
      <c r="A18" s="28" t="s">
        <v>61</v>
      </c>
      <c r="B18" s="29">
        <f>B17/60</f>
        <v>2.25</v>
      </c>
      <c r="C18" s="30">
        <f t="shared" ref="C18" si="1">C17/60</f>
        <v>2.2833333333333332</v>
      </c>
      <c r="D18" s="30">
        <f>D17/60</f>
        <v>2.1083333333333334</v>
      </c>
      <c r="E18" s="1"/>
      <c r="F18" s="1"/>
      <c r="G18" s="1"/>
      <c r="H18" s="1"/>
      <c r="I18" s="1"/>
      <c r="J18" s="1"/>
      <c r="K18" s="1"/>
      <c r="L18" s="1"/>
    </row>
    <row r="19" spans="1:12" ht="15.6" x14ac:dyDescent="0.3">
      <c r="A19" s="24"/>
      <c r="B19" s="27"/>
      <c r="C19" s="27"/>
      <c r="D19" s="27"/>
      <c r="E19" s="1"/>
      <c r="F19" s="1"/>
      <c r="G19" s="1"/>
      <c r="H19" s="1"/>
      <c r="I19" s="1"/>
      <c r="J19" s="1"/>
      <c r="K19" s="1"/>
      <c r="L19" s="1"/>
    </row>
    <row r="20" spans="1:12" ht="15.6" x14ac:dyDescent="0.3">
      <c r="A20" s="20" t="s">
        <v>62</v>
      </c>
      <c r="B20" s="37">
        <f>B6*B3+C6*C3</f>
        <v>30000</v>
      </c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x14ac:dyDescent="0.25">
      <c r="A21" s="1" t="s">
        <v>63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ht="15.6" x14ac:dyDescent="0.3">
      <c r="A23" s="20" t="s">
        <v>64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ht="15.6" x14ac:dyDescent="0.3">
      <c r="A24" s="20"/>
      <c r="B24" s="1" t="s">
        <v>65</v>
      </c>
      <c r="C24" s="1" t="s">
        <v>66</v>
      </c>
      <c r="D24" s="1" t="s">
        <v>67</v>
      </c>
      <c r="E24" s="1"/>
      <c r="F24" s="1" t="s">
        <v>68</v>
      </c>
      <c r="G24" s="1"/>
      <c r="H24" s="1"/>
      <c r="I24" s="19"/>
      <c r="J24" s="1"/>
      <c r="K24" s="1"/>
      <c r="L24" s="1"/>
    </row>
    <row r="25" spans="1:12" ht="15.6" x14ac:dyDescent="0.3">
      <c r="A25" s="19" t="s">
        <v>69</v>
      </c>
      <c r="B25" s="1">
        <v>0.9</v>
      </c>
      <c r="C25" s="1">
        <v>1.2</v>
      </c>
      <c r="D25" s="1">
        <f>SUMPRODUCT(B25:C25,$B$3:$C$3)</f>
        <v>3.5999999999999996</v>
      </c>
      <c r="E25" s="1" t="s">
        <v>70</v>
      </c>
      <c r="F25" s="1">
        <v>2.25</v>
      </c>
      <c r="G25" s="1"/>
      <c r="H25" s="1"/>
      <c r="I25" s="1"/>
      <c r="J25" s="1"/>
      <c r="K25" s="19"/>
    </row>
    <row r="26" spans="1:12" ht="15.6" x14ac:dyDescent="0.3">
      <c r="A26" s="19" t="s">
        <v>72</v>
      </c>
      <c r="B26" s="1">
        <v>1.2</v>
      </c>
      <c r="C26" s="1">
        <v>1.6</v>
      </c>
      <c r="D26" s="1">
        <f>SUMPRODUCT(B26:C26,$B$3:$C$3)</f>
        <v>4.8000000000000007</v>
      </c>
      <c r="E26" s="1" t="s">
        <v>70</v>
      </c>
      <c r="F26" s="1">
        <v>2.2799999999999998</v>
      </c>
      <c r="G26" s="1"/>
      <c r="H26" s="1"/>
      <c r="I26" s="19"/>
      <c r="J26" s="1"/>
      <c r="K26" s="1"/>
      <c r="L26" s="1"/>
    </row>
    <row r="27" spans="1:12" ht="15.6" x14ac:dyDescent="0.3">
      <c r="A27" s="19" t="s">
        <v>73</v>
      </c>
      <c r="B27" s="1">
        <v>0.6</v>
      </c>
      <c r="C27" s="1">
        <v>0.8</v>
      </c>
      <c r="D27" s="1">
        <f>SUMPRODUCT(B27:C27,$B$3:$C$3)</f>
        <v>2.4000000000000004</v>
      </c>
      <c r="E27" s="1" t="s">
        <v>70</v>
      </c>
      <c r="F27" s="1">
        <v>2.11</v>
      </c>
      <c r="G27" s="1"/>
      <c r="H27" s="1"/>
      <c r="I27" s="1"/>
      <c r="J27" s="1"/>
      <c r="K27" s="1"/>
      <c r="L27" s="1"/>
    </row>
    <row r="28" spans="1:12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ht="15.6" x14ac:dyDescent="0.3">
      <c r="A29" s="1"/>
      <c r="B29" s="1"/>
      <c r="C29" s="1"/>
      <c r="D29" s="1"/>
      <c r="E29" s="1"/>
      <c r="F29" s="1"/>
      <c r="G29" s="1"/>
      <c r="H29" s="1"/>
      <c r="I29" s="19"/>
      <c r="J29" s="1"/>
      <c r="K29" s="1"/>
      <c r="L29" s="1"/>
    </row>
    <row r="30" spans="1:12" ht="15.6" x14ac:dyDescent="0.3">
      <c r="A30" s="19" t="s">
        <v>75</v>
      </c>
      <c r="B30" s="19">
        <v>3</v>
      </c>
      <c r="C30" s="1">
        <v>4</v>
      </c>
      <c r="D30" s="1"/>
      <c r="E30" s="1"/>
      <c r="F30" s="1"/>
      <c r="G30" s="1"/>
      <c r="H30" s="1"/>
      <c r="I30" s="1"/>
      <c r="J30" s="1"/>
      <c r="K30" s="1"/>
      <c r="L30" s="1"/>
    </row>
    <row r="31" spans="1:12" ht="15.6" x14ac:dyDescent="0.3">
      <c r="A31" s="1"/>
      <c r="B31" s="1"/>
      <c r="C31" s="1">
        <f>SUMPRODUCT(B3:C3,B30:C30)</f>
        <v>12</v>
      </c>
      <c r="D31" s="19" t="s">
        <v>71</v>
      </c>
      <c r="E31" s="19">
        <f>(F25/0.3+F26/0.4+F27/0.2)/2</f>
        <v>11.875</v>
      </c>
      <c r="F31" s="1"/>
      <c r="G31" s="1"/>
      <c r="H31" s="1"/>
      <c r="I31" s="1"/>
      <c r="J31" s="1"/>
      <c r="K31" s="1"/>
      <c r="L31" s="1"/>
    </row>
    <row r="32" spans="1:12" ht="15.6" x14ac:dyDescent="0.3">
      <c r="A32" s="24"/>
      <c r="B32" s="28"/>
      <c r="C32" s="28"/>
      <c r="D32" s="28"/>
      <c r="E32" s="1"/>
      <c r="F32" s="1"/>
      <c r="G32" s="1"/>
      <c r="H32" s="1"/>
      <c r="I32" s="1"/>
      <c r="J32" s="1"/>
      <c r="K32" s="1"/>
      <c r="L32" s="1"/>
    </row>
    <row r="33" spans="1:12" ht="15.6" x14ac:dyDescent="0.3">
      <c r="A33" s="24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 x14ac:dyDescent="0.25">
      <c r="A36" s="1" t="s">
        <v>74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D3BAB-DEA3-4025-90BD-D49743F430FA}">
  <sheetPr>
    <tabColor theme="9" tint="0.79998168889431442"/>
  </sheetPr>
  <dimension ref="A1:G31"/>
  <sheetViews>
    <sheetView showGridLines="0" workbookViewId="0"/>
  </sheetViews>
  <sheetFormatPr defaultRowHeight="13.8" x14ac:dyDescent="0.25"/>
  <cols>
    <col min="1" max="1" width="2.33203125" customWidth="1"/>
    <col min="2" max="2" width="18.44140625" bestFit="1" customWidth="1"/>
    <col min="3" max="3" width="97.33203125" bestFit="1" customWidth="1"/>
    <col min="4" max="4" width="15.21875" bestFit="1" customWidth="1"/>
    <col min="5" max="5" width="15" bestFit="1" customWidth="1"/>
    <col min="6" max="6" width="11.88671875" bestFit="1" customWidth="1"/>
    <col min="7" max="7" width="6.5546875" bestFit="1" customWidth="1"/>
  </cols>
  <sheetData>
    <row r="1" spans="1:5" x14ac:dyDescent="0.25">
      <c r="A1" s="31" t="s">
        <v>76</v>
      </c>
    </row>
    <row r="2" spans="1:5" x14ac:dyDescent="0.25">
      <c r="A2" s="31" t="s">
        <v>77</v>
      </c>
    </row>
    <row r="3" spans="1:5" x14ac:dyDescent="0.25">
      <c r="A3" s="31" t="s">
        <v>78</v>
      </c>
    </row>
    <row r="4" spans="1:5" x14ac:dyDescent="0.25">
      <c r="A4" s="31" t="s">
        <v>79</v>
      </c>
    </row>
    <row r="5" spans="1:5" x14ac:dyDescent="0.25">
      <c r="A5" s="31" t="s">
        <v>80</v>
      </c>
    </row>
    <row r="6" spans="1:5" x14ac:dyDescent="0.25">
      <c r="A6" s="31"/>
      <c r="B6" t="s">
        <v>81</v>
      </c>
    </row>
    <row r="7" spans="1:5" x14ac:dyDescent="0.25">
      <c r="A7" s="31"/>
      <c r="B7" t="s">
        <v>82</v>
      </c>
    </row>
    <row r="8" spans="1:5" x14ac:dyDescent="0.25">
      <c r="A8" s="31"/>
      <c r="B8" t="s">
        <v>83</v>
      </c>
    </row>
    <row r="9" spans="1:5" x14ac:dyDescent="0.25">
      <c r="A9" s="31" t="s">
        <v>84</v>
      </c>
    </row>
    <row r="10" spans="1:5" x14ac:dyDescent="0.25">
      <c r="B10" t="s">
        <v>85</v>
      </c>
    </row>
    <row r="11" spans="1:5" x14ac:dyDescent="0.25">
      <c r="B11" t="s">
        <v>86</v>
      </c>
    </row>
    <row r="14" spans="1:5" ht="14.4" thickBot="1" x14ac:dyDescent="0.3">
      <c r="A14" t="s">
        <v>87</v>
      </c>
    </row>
    <row r="15" spans="1:5" ht="14.4" thickBot="1" x14ac:dyDescent="0.3">
      <c r="B15" s="33" t="s">
        <v>88</v>
      </c>
      <c r="C15" s="33" t="s">
        <v>89</v>
      </c>
      <c r="D15" s="33" t="s">
        <v>90</v>
      </c>
      <c r="E15" s="33" t="s">
        <v>91</v>
      </c>
    </row>
    <row r="16" spans="1:5" ht="14.4" thickBot="1" x14ac:dyDescent="0.3">
      <c r="B16" s="32" t="s">
        <v>98</v>
      </c>
      <c r="C16" s="32" t="s">
        <v>99</v>
      </c>
      <c r="D16" s="35">
        <v>0</v>
      </c>
      <c r="E16" s="35">
        <v>30000</v>
      </c>
    </row>
    <row r="19" spans="1:7" ht="14.4" thickBot="1" x14ac:dyDescent="0.3">
      <c r="A19" t="s">
        <v>92</v>
      </c>
    </row>
    <row r="20" spans="1:7" ht="14.4" thickBot="1" x14ac:dyDescent="0.3">
      <c r="B20" s="33" t="s">
        <v>88</v>
      </c>
      <c r="C20" s="33" t="s">
        <v>89</v>
      </c>
      <c r="D20" s="33" t="s">
        <v>90</v>
      </c>
      <c r="E20" s="33" t="s">
        <v>91</v>
      </c>
      <c r="F20" s="33" t="s">
        <v>93</v>
      </c>
    </row>
    <row r="21" spans="1:7" x14ac:dyDescent="0.25">
      <c r="B21" s="34" t="s">
        <v>100</v>
      </c>
      <c r="C21" s="34" t="s">
        <v>101</v>
      </c>
      <c r="D21" s="36">
        <v>0</v>
      </c>
      <c r="E21" s="36">
        <v>0</v>
      </c>
      <c r="F21" s="34" t="s">
        <v>117</v>
      </c>
    </row>
    <row r="22" spans="1:7" ht="14.4" thickBot="1" x14ac:dyDescent="0.3">
      <c r="B22" s="32" t="s">
        <v>102</v>
      </c>
      <c r="C22" s="32" t="s">
        <v>103</v>
      </c>
      <c r="D22" s="35">
        <v>0</v>
      </c>
      <c r="E22" s="35">
        <v>3</v>
      </c>
      <c r="F22" s="32" t="s">
        <v>117</v>
      </c>
    </row>
    <row r="25" spans="1:7" ht="14.4" thickBot="1" x14ac:dyDescent="0.3">
      <c r="A25" t="s">
        <v>64</v>
      </c>
    </row>
    <row r="26" spans="1:7" ht="14.4" thickBot="1" x14ac:dyDescent="0.3">
      <c r="B26" s="33" t="s">
        <v>88</v>
      </c>
      <c r="C26" s="33" t="s">
        <v>89</v>
      </c>
      <c r="D26" s="33" t="s">
        <v>94</v>
      </c>
      <c r="E26" s="33" t="s">
        <v>95</v>
      </c>
      <c r="F26" s="33" t="s">
        <v>96</v>
      </c>
      <c r="G26" s="33" t="s">
        <v>97</v>
      </c>
    </row>
    <row r="27" spans="1:7" x14ac:dyDescent="0.25">
      <c r="B27" s="34" t="s">
        <v>104</v>
      </c>
      <c r="C27" s="34" t="s">
        <v>66</v>
      </c>
      <c r="D27" s="36">
        <v>12</v>
      </c>
      <c r="E27" s="34" t="s">
        <v>105</v>
      </c>
      <c r="F27" s="34" t="s">
        <v>106</v>
      </c>
      <c r="G27" s="36">
        <v>0.125</v>
      </c>
    </row>
    <row r="28" spans="1:7" x14ac:dyDescent="0.25">
      <c r="B28" s="34" t="s">
        <v>107</v>
      </c>
      <c r="C28" s="34" t="s">
        <v>108</v>
      </c>
      <c r="D28" s="36">
        <v>3.5999999999999996</v>
      </c>
      <c r="E28" s="34" t="s">
        <v>109</v>
      </c>
      <c r="F28" s="34" t="s">
        <v>106</v>
      </c>
      <c r="G28" s="36">
        <v>1.3499999999999996</v>
      </c>
    </row>
    <row r="29" spans="1:7" x14ac:dyDescent="0.25">
      <c r="B29" s="34" t="s">
        <v>110</v>
      </c>
      <c r="C29" s="34" t="s">
        <v>111</v>
      </c>
      <c r="D29" s="36">
        <v>4.8000000000000007</v>
      </c>
      <c r="E29" s="34" t="s">
        <v>112</v>
      </c>
      <c r="F29" s="34" t="s">
        <v>106</v>
      </c>
      <c r="G29" s="36">
        <v>2.5200000000000009</v>
      </c>
    </row>
    <row r="30" spans="1:7" x14ac:dyDescent="0.25">
      <c r="B30" s="34" t="s">
        <v>113</v>
      </c>
      <c r="C30" s="34" t="s">
        <v>114</v>
      </c>
      <c r="D30" s="36">
        <v>2.4000000000000004</v>
      </c>
      <c r="E30" s="34" t="s">
        <v>115</v>
      </c>
      <c r="F30" s="34" t="s">
        <v>106</v>
      </c>
      <c r="G30" s="36">
        <v>0.29000000000000048</v>
      </c>
    </row>
    <row r="31" spans="1:7" ht="14.4" thickBot="1" x14ac:dyDescent="0.3">
      <c r="B31" s="32" t="s">
        <v>116</v>
      </c>
      <c r="C31" s="32"/>
      <c r="D31" s="32"/>
      <c r="E31" s="32"/>
      <c r="F31" s="32"/>
      <c r="G31" s="32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97A2D-E4BC-4547-9E65-E0A1259F6A86}">
  <sheetPr>
    <tabColor rgb="FFFFC000"/>
  </sheetPr>
  <dimension ref="A1:N1001"/>
  <sheetViews>
    <sheetView workbookViewId="0">
      <selection activeCell="E30" sqref="E30"/>
    </sheetView>
  </sheetViews>
  <sheetFormatPr defaultRowHeight="13.8" x14ac:dyDescent="0.25"/>
  <cols>
    <col min="1" max="1" width="8.88671875" style="1"/>
    <col min="3" max="3" width="21.44140625" style="1" customWidth="1"/>
    <col min="4" max="4" width="10.77734375" style="1" customWidth="1"/>
    <col min="5" max="6" width="12.5546875" style="1" customWidth="1"/>
    <col min="7" max="7" width="14.5546875" style="1" customWidth="1"/>
    <col min="8" max="10" width="17.21875" style="1" customWidth="1"/>
  </cols>
  <sheetData>
    <row r="1" spans="1:14" ht="15.6" x14ac:dyDescent="0.3">
      <c r="A1" s="1" t="s">
        <v>0</v>
      </c>
      <c r="B1" t="s">
        <v>1</v>
      </c>
      <c r="C1" s="2" t="s">
        <v>2</v>
      </c>
      <c r="D1" s="2" t="s">
        <v>3</v>
      </c>
      <c r="E1" s="2" t="s">
        <v>10</v>
      </c>
      <c r="F1" s="2" t="s">
        <v>4</v>
      </c>
      <c r="G1" s="3" t="s">
        <v>5</v>
      </c>
      <c r="H1" s="4"/>
      <c r="I1" s="5" t="s">
        <v>6</v>
      </c>
      <c r="J1" s="5" t="s">
        <v>11</v>
      </c>
      <c r="L1" s="4" t="s">
        <v>7</v>
      </c>
      <c r="M1" s="4" t="s">
        <v>8</v>
      </c>
      <c r="N1" s="4" t="s">
        <v>9</v>
      </c>
    </row>
    <row r="2" spans="1:14" x14ac:dyDescent="0.25">
      <c r="A2" s="1">
        <v>1</v>
      </c>
      <c r="B2">
        <v>0.33561031943153841</v>
      </c>
      <c r="C2" s="1">
        <f t="shared" ref="C2:C65" si="0">MATCH(B2,$N$2:$N$202,-1)</f>
        <v>134</v>
      </c>
      <c r="D2" s="1">
        <f t="shared" ref="D2:D65" si="1">INDEX($L$2:$L$202,C2)</f>
        <v>367</v>
      </c>
      <c r="E2" s="1">
        <f>MIN(D2,$I$2)</f>
        <v>367</v>
      </c>
      <c r="F2" s="1">
        <f>$I$2-E2</f>
        <v>33</v>
      </c>
      <c r="G2" s="1">
        <f>7.5*E2-$I$2/25*8-F2/25*1</f>
        <v>2623.18</v>
      </c>
      <c r="I2" s="1">
        <v>400</v>
      </c>
      <c r="J2" s="1">
        <f>AVERAGE($G$2:$G$1001)</f>
        <v>2680.1447000000003</v>
      </c>
      <c r="L2">
        <v>500</v>
      </c>
      <c r="M2">
        <f>1/COUNT($L$2:$L$202)</f>
        <v>4.9751243781094526E-3</v>
      </c>
      <c r="N2">
        <v>1</v>
      </c>
    </row>
    <row r="3" spans="1:14" x14ac:dyDescent="0.25">
      <c r="A3" s="1">
        <v>2</v>
      </c>
      <c r="B3">
        <v>0.85068898559022488</v>
      </c>
      <c r="C3" s="1">
        <f t="shared" si="0"/>
        <v>31</v>
      </c>
      <c r="D3" s="1">
        <f t="shared" si="1"/>
        <v>470</v>
      </c>
      <c r="E3" s="1">
        <f t="shared" ref="E3:E66" si="2">MIN(D3,$I$2)</f>
        <v>400</v>
      </c>
      <c r="F3" s="1">
        <f t="shared" ref="F3:F66" si="3">$I$2-E3</f>
        <v>0</v>
      </c>
      <c r="G3" s="1">
        <f t="shared" ref="G3:G66" si="4">7.5*E3-$I$2/25*8-F3/25*1</f>
        <v>2872</v>
      </c>
      <c r="I3" s="1">
        <v>300</v>
      </c>
      <c r="J3" s="1">
        <f t="dataTable" ref="J3:J15" dt2D="0" dtr="0" r1="I2"/>
        <v>2154</v>
      </c>
      <c r="L3">
        <v>499</v>
      </c>
      <c r="M3">
        <f t="shared" ref="M3:M66" si="5">1/COUNT($L$2:$L$202)</f>
        <v>4.9751243781094526E-3</v>
      </c>
      <c r="N3">
        <f>N2-M3</f>
        <v>0.99502487562189057</v>
      </c>
    </row>
    <row r="4" spans="1:14" x14ac:dyDescent="0.25">
      <c r="A4" s="1">
        <v>3</v>
      </c>
      <c r="B4">
        <v>0.17082040968485246</v>
      </c>
      <c r="C4" s="1">
        <f t="shared" si="0"/>
        <v>167</v>
      </c>
      <c r="D4" s="1">
        <f t="shared" si="1"/>
        <v>334</v>
      </c>
      <c r="E4" s="1">
        <f t="shared" si="2"/>
        <v>334</v>
      </c>
      <c r="F4" s="1">
        <f t="shared" si="3"/>
        <v>66</v>
      </c>
      <c r="G4" s="1">
        <f t="shared" si="4"/>
        <v>2374.36</v>
      </c>
      <c r="I4" s="1">
        <v>325</v>
      </c>
      <c r="J4" s="1">
        <v>2320.9986800000006</v>
      </c>
      <c r="L4">
        <v>498</v>
      </c>
      <c r="M4">
        <f t="shared" si="5"/>
        <v>4.9751243781094526E-3</v>
      </c>
      <c r="N4">
        <f t="shared" ref="N4:N67" si="6">N3-M4</f>
        <v>0.99004975124378114</v>
      </c>
    </row>
    <row r="5" spans="1:14" x14ac:dyDescent="0.25">
      <c r="A5" s="1">
        <v>4</v>
      </c>
      <c r="B5">
        <v>0.34192222001357753</v>
      </c>
      <c r="C5" s="1">
        <f t="shared" si="0"/>
        <v>133</v>
      </c>
      <c r="D5" s="1">
        <f t="shared" si="1"/>
        <v>368</v>
      </c>
      <c r="E5" s="1">
        <f t="shared" si="2"/>
        <v>368</v>
      </c>
      <c r="F5" s="1">
        <f t="shared" si="3"/>
        <v>32</v>
      </c>
      <c r="G5" s="1">
        <f t="shared" si="4"/>
        <v>2630.72</v>
      </c>
      <c r="I5" s="1">
        <v>350</v>
      </c>
      <c r="J5" s="1">
        <v>2463.695940000001</v>
      </c>
      <c r="L5">
        <v>497</v>
      </c>
      <c r="M5">
        <f t="shared" si="5"/>
        <v>4.9751243781094526E-3</v>
      </c>
      <c r="N5">
        <f t="shared" si="6"/>
        <v>0.98507462686567171</v>
      </c>
    </row>
    <row r="6" spans="1:14" x14ac:dyDescent="0.25">
      <c r="A6" s="1">
        <v>5</v>
      </c>
      <c r="B6">
        <v>0.50537353324244749</v>
      </c>
      <c r="C6" s="1">
        <f t="shared" si="0"/>
        <v>100</v>
      </c>
      <c r="D6" s="1">
        <f t="shared" si="1"/>
        <v>401</v>
      </c>
      <c r="E6" s="1">
        <f t="shared" si="2"/>
        <v>400</v>
      </c>
      <c r="F6" s="1">
        <f t="shared" si="3"/>
        <v>0</v>
      </c>
      <c r="G6" s="1">
        <f t="shared" si="4"/>
        <v>2872</v>
      </c>
      <c r="I6" s="1">
        <v>375</v>
      </c>
      <c r="J6" s="1">
        <v>2584.5724400000008</v>
      </c>
      <c r="L6">
        <v>496</v>
      </c>
      <c r="M6">
        <f t="shared" si="5"/>
        <v>4.9751243781094526E-3</v>
      </c>
      <c r="N6">
        <f t="shared" si="6"/>
        <v>0.98009950248756228</v>
      </c>
    </row>
    <row r="7" spans="1:14" x14ac:dyDescent="0.25">
      <c r="A7" s="1">
        <v>6</v>
      </c>
      <c r="B7">
        <v>0.83504251452384282</v>
      </c>
      <c r="C7" s="1">
        <f t="shared" si="0"/>
        <v>34</v>
      </c>
      <c r="D7" s="1">
        <f t="shared" si="1"/>
        <v>467</v>
      </c>
      <c r="E7" s="1">
        <f t="shared" si="2"/>
        <v>400</v>
      </c>
      <c r="F7" s="1">
        <f t="shared" si="3"/>
        <v>0</v>
      </c>
      <c r="G7" s="1">
        <f t="shared" si="4"/>
        <v>2872</v>
      </c>
      <c r="I7" s="1">
        <v>400</v>
      </c>
      <c r="J7" s="1">
        <v>2680.1447000000003</v>
      </c>
      <c r="L7">
        <v>495</v>
      </c>
      <c r="M7">
        <f t="shared" si="5"/>
        <v>4.9751243781094526E-3</v>
      </c>
      <c r="N7">
        <f t="shared" si="6"/>
        <v>0.97512437810945285</v>
      </c>
    </row>
    <row r="8" spans="1:14" x14ac:dyDescent="0.25">
      <c r="A8" s="1">
        <v>7</v>
      </c>
      <c r="B8">
        <v>0.32226756116862187</v>
      </c>
      <c r="C8" s="1">
        <f t="shared" si="0"/>
        <v>137</v>
      </c>
      <c r="D8" s="1">
        <f t="shared" si="1"/>
        <v>364</v>
      </c>
      <c r="E8" s="1">
        <f t="shared" si="2"/>
        <v>364</v>
      </c>
      <c r="F8" s="1">
        <f t="shared" si="3"/>
        <v>36</v>
      </c>
      <c r="G8" s="1">
        <f t="shared" si="4"/>
        <v>2600.56</v>
      </c>
      <c r="I8" s="1">
        <v>425</v>
      </c>
      <c r="J8" s="1">
        <v>2754.37122</v>
      </c>
      <c r="L8">
        <v>494</v>
      </c>
      <c r="M8">
        <f t="shared" si="5"/>
        <v>4.9751243781094526E-3</v>
      </c>
      <c r="N8">
        <f t="shared" si="6"/>
        <v>0.97014925373134342</v>
      </c>
    </row>
    <row r="9" spans="1:14" x14ac:dyDescent="0.25">
      <c r="A9" s="1">
        <v>8</v>
      </c>
      <c r="B9">
        <v>0.57277581538484479</v>
      </c>
      <c r="C9" s="1">
        <f t="shared" si="0"/>
        <v>86</v>
      </c>
      <c r="D9" s="1">
        <f t="shared" si="1"/>
        <v>415</v>
      </c>
      <c r="E9" s="1">
        <f t="shared" si="2"/>
        <v>400</v>
      </c>
      <c r="F9" s="1">
        <f t="shared" si="3"/>
        <v>0</v>
      </c>
      <c r="G9" s="1">
        <f t="shared" si="4"/>
        <v>2872</v>
      </c>
      <c r="I9" s="1">
        <v>450</v>
      </c>
      <c r="J9" s="1">
        <v>2805.5479599999999</v>
      </c>
      <c r="L9">
        <v>493</v>
      </c>
      <c r="M9">
        <f t="shared" si="5"/>
        <v>4.9751243781094526E-3</v>
      </c>
      <c r="N9">
        <f t="shared" si="6"/>
        <v>0.96517412935323399</v>
      </c>
    </row>
    <row r="10" spans="1:14" x14ac:dyDescent="0.25">
      <c r="A10" s="1">
        <v>9</v>
      </c>
      <c r="B10">
        <v>0.15079423182833551</v>
      </c>
      <c r="C10" s="1">
        <f t="shared" si="0"/>
        <v>171</v>
      </c>
      <c r="D10" s="1">
        <f t="shared" si="1"/>
        <v>330</v>
      </c>
      <c r="E10" s="1">
        <f t="shared" si="2"/>
        <v>330</v>
      </c>
      <c r="F10" s="1">
        <f t="shared" si="3"/>
        <v>70</v>
      </c>
      <c r="G10" s="1">
        <f t="shared" si="4"/>
        <v>2344.1999999999998</v>
      </c>
      <c r="I10" s="1">
        <v>475</v>
      </c>
      <c r="J10" s="1">
        <v>2834.5344799999989</v>
      </c>
      <c r="L10">
        <v>492</v>
      </c>
      <c r="M10">
        <f t="shared" si="5"/>
        <v>4.9751243781094526E-3</v>
      </c>
      <c r="N10">
        <f t="shared" si="6"/>
        <v>0.96019900497512456</v>
      </c>
    </row>
    <row r="11" spans="1:14" x14ac:dyDescent="0.25">
      <c r="A11" s="1">
        <v>10</v>
      </c>
      <c r="B11">
        <v>0.95704342569881584</v>
      </c>
      <c r="C11" s="1">
        <f t="shared" si="0"/>
        <v>9</v>
      </c>
      <c r="D11" s="1">
        <f t="shared" si="1"/>
        <v>492</v>
      </c>
      <c r="E11" s="1">
        <f t="shared" si="2"/>
        <v>400</v>
      </c>
      <c r="F11" s="1">
        <f t="shared" si="3"/>
        <v>0</v>
      </c>
      <c r="G11" s="1">
        <f t="shared" si="4"/>
        <v>2872</v>
      </c>
      <c r="I11" s="1">
        <v>500</v>
      </c>
      <c r="J11" s="1">
        <v>2838.6389999999983</v>
      </c>
      <c r="L11">
        <v>491</v>
      </c>
      <c r="M11">
        <f t="shared" si="5"/>
        <v>4.9751243781094526E-3</v>
      </c>
      <c r="N11">
        <f t="shared" si="6"/>
        <v>0.95522388059701513</v>
      </c>
    </row>
    <row r="12" spans="1:14" x14ac:dyDescent="0.25">
      <c r="A12" s="1">
        <v>11</v>
      </c>
      <c r="B12">
        <v>0.5245350373514106</v>
      </c>
      <c r="C12" s="1">
        <f t="shared" si="0"/>
        <v>96</v>
      </c>
      <c r="D12" s="1">
        <f t="shared" si="1"/>
        <v>405</v>
      </c>
      <c r="E12" s="1">
        <f t="shared" si="2"/>
        <v>400</v>
      </c>
      <c r="F12" s="1">
        <f t="shared" si="3"/>
        <v>0</v>
      </c>
      <c r="G12" s="1">
        <f t="shared" si="4"/>
        <v>2872</v>
      </c>
      <c r="I12" s="1">
        <v>525</v>
      </c>
      <c r="J12" s="1">
        <v>2829.6389999999983</v>
      </c>
      <c r="L12">
        <v>490</v>
      </c>
      <c r="M12">
        <f t="shared" si="5"/>
        <v>4.9751243781094526E-3</v>
      </c>
      <c r="N12">
        <f t="shared" si="6"/>
        <v>0.9502487562189057</v>
      </c>
    </row>
    <row r="13" spans="1:14" x14ac:dyDescent="0.25">
      <c r="A13" s="1">
        <v>12</v>
      </c>
      <c r="B13">
        <v>0.52457440162539193</v>
      </c>
      <c r="C13" s="1">
        <f t="shared" si="0"/>
        <v>96</v>
      </c>
      <c r="D13" s="1">
        <f t="shared" si="1"/>
        <v>405</v>
      </c>
      <c r="E13" s="1">
        <f t="shared" si="2"/>
        <v>400</v>
      </c>
      <c r="F13" s="1">
        <f t="shared" si="3"/>
        <v>0</v>
      </c>
      <c r="G13" s="1">
        <f t="shared" si="4"/>
        <v>2872</v>
      </c>
      <c r="I13" s="1">
        <v>550</v>
      </c>
      <c r="J13" s="1">
        <v>2820.6389999999988</v>
      </c>
      <c r="L13">
        <v>489</v>
      </c>
      <c r="M13">
        <f t="shared" si="5"/>
        <v>4.9751243781094526E-3</v>
      </c>
      <c r="N13">
        <f t="shared" si="6"/>
        <v>0.94527363184079627</v>
      </c>
    </row>
    <row r="14" spans="1:14" x14ac:dyDescent="0.25">
      <c r="A14" s="1">
        <v>13</v>
      </c>
      <c r="B14">
        <v>0.77001584834638781</v>
      </c>
      <c r="C14" s="1">
        <f t="shared" si="0"/>
        <v>47</v>
      </c>
      <c r="D14" s="1">
        <f t="shared" si="1"/>
        <v>454</v>
      </c>
      <c r="E14" s="1">
        <f t="shared" si="2"/>
        <v>400</v>
      </c>
      <c r="F14" s="1">
        <f t="shared" si="3"/>
        <v>0</v>
      </c>
      <c r="G14" s="1">
        <f t="shared" si="4"/>
        <v>2872</v>
      </c>
      <c r="I14" s="1">
        <v>575</v>
      </c>
      <c r="J14" s="1">
        <v>2811.6389999999988</v>
      </c>
      <c r="L14">
        <v>488</v>
      </c>
      <c r="M14">
        <f t="shared" si="5"/>
        <v>4.9751243781094526E-3</v>
      </c>
      <c r="N14">
        <f t="shared" si="6"/>
        <v>0.94029850746268684</v>
      </c>
    </row>
    <row r="15" spans="1:14" x14ac:dyDescent="0.25">
      <c r="A15" s="1">
        <v>14</v>
      </c>
      <c r="B15">
        <v>0.33663679495688781</v>
      </c>
      <c r="C15" s="1">
        <f t="shared" si="0"/>
        <v>134</v>
      </c>
      <c r="D15" s="1">
        <f t="shared" si="1"/>
        <v>367</v>
      </c>
      <c r="E15" s="1">
        <f t="shared" si="2"/>
        <v>367</v>
      </c>
      <c r="F15" s="1">
        <f t="shared" si="3"/>
        <v>33</v>
      </c>
      <c r="G15" s="1">
        <f t="shared" si="4"/>
        <v>2623.18</v>
      </c>
      <c r="I15" s="1">
        <v>600</v>
      </c>
      <c r="J15" s="1">
        <v>2802.6389999999978</v>
      </c>
      <c r="L15">
        <v>487</v>
      </c>
      <c r="M15">
        <f t="shared" si="5"/>
        <v>4.9751243781094526E-3</v>
      </c>
      <c r="N15">
        <f t="shared" si="6"/>
        <v>0.93532338308457741</v>
      </c>
    </row>
    <row r="16" spans="1:14" x14ac:dyDescent="0.25">
      <c r="A16" s="1">
        <v>15</v>
      </c>
      <c r="B16">
        <v>0.14852819541217022</v>
      </c>
      <c r="C16" s="1">
        <f t="shared" si="0"/>
        <v>172</v>
      </c>
      <c r="D16" s="1">
        <f t="shared" si="1"/>
        <v>329</v>
      </c>
      <c r="E16" s="1">
        <f t="shared" si="2"/>
        <v>329</v>
      </c>
      <c r="F16" s="1">
        <f t="shared" si="3"/>
        <v>71</v>
      </c>
      <c r="G16" s="1">
        <f t="shared" si="4"/>
        <v>2336.66</v>
      </c>
      <c r="L16">
        <v>486</v>
      </c>
      <c r="M16">
        <f t="shared" si="5"/>
        <v>4.9751243781094526E-3</v>
      </c>
      <c r="N16">
        <f t="shared" si="6"/>
        <v>0.93034825870646798</v>
      </c>
    </row>
    <row r="17" spans="1:14" x14ac:dyDescent="0.25">
      <c r="A17" s="1">
        <v>16</v>
      </c>
      <c r="B17">
        <v>0.98481850309025043</v>
      </c>
      <c r="C17" s="1">
        <f t="shared" si="0"/>
        <v>4</v>
      </c>
      <c r="D17" s="1">
        <f t="shared" si="1"/>
        <v>497</v>
      </c>
      <c r="E17" s="1">
        <f t="shared" si="2"/>
        <v>400</v>
      </c>
      <c r="F17" s="1">
        <f t="shared" si="3"/>
        <v>0</v>
      </c>
      <c r="G17" s="1">
        <f t="shared" si="4"/>
        <v>2872</v>
      </c>
      <c r="L17">
        <v>485</v>
      </c>
      <c r="M17">
        <f t="shared" si="5"/>
        <v>4.9751243781094526E-3</v>
      </c>
      <c r="N17">
        <f t="shared" si="6"/>
        <v>0.92537313432835855</v>
      </c>
    </row>
    <row r="18" spans="1:14" ht="15.6" x14ac:dyDescent="0.3">
      <c r="A18" s="1">
        <v>17</v>
      </c>
      <c r="B18">
        <v>0.56443846751057258</v>
      </c>
      <c r="C18" s="1">
        <f t="shared" si="0"/>
        <v>88</v>
      </c>
      <c r="D18" s="1">
        <f t="shared" si="1"/>
        <v>413</v>
      </c>
      <c r="E18" s="1">
        <f t="shared" si="2"/>
        <v>400</v>
      </c>
      <c r="F18" s="1">
        <f t="shared" si="3"/>
        <v>0</v>
      </c>
      <c r="G18" s="1">
        <f t="shared" si="4"/>
        <v>2872</v>
      </c>
      <c r="I18" s="6" t="s">
        <v>12</v>
      </c>
      <c r="J18" s="6">
        <f>MAX(J2:J15)</f>
        <v>2838.6389999999983</v>
      </c>
      <c r="L18">
        <v>484</v>
      </c>
      <c r="M18">
        <f t="shared" si="5"/>
        <v>4.9751243781094526E-3</v>
      </c>
      <c r="N18">
        <f t="shared" si="6"/>
        <v>0.92039800995024912</v>
      </c>
    </row>
    <row r="19" spans="1:14" ht="15.6" x14ac:dyDescent="0.3">
      <c r="A19" s="1">
        <v>18</v>
      </c>
      <c r="B19">
        <v>0.19104255084437827</v>
      </c>
      <c r="C19" s="1">
        <f t="shared" si="0"/>
        <v>163</v>
      </c>
      <c r="D19" s="1">
        <f t="shared" si="1"/>
        <v>338</v>
      </c>
      <c r="E19" s="1">
        <f t="shared" si="2"/>
        <v>338</v>
      </c>
      <c r="F19" s="1">
        <f t="shared" si="3"/>
        <v>62</v>
      </c>
      <c r="G19" s="1">
        <f t="shared" si="4"/>
        <v>2404.52</v>
      </c>
      <c r="I19" s="6" t="s">
        <v>13</v>
      </c>
      <c r="J19" s="6">
        <f>INDEX($I$2:$I$15,MATCH(J18,J2:J15,0))</f>
        <v>500</v>
      </c>
      <c r="L19">
        <v>483</v>
      </c>
      <c r="M19">
        <f t="shared" si="5"/>
        <v>4.9751243781094526E-3</v>
      </c>
      <c r="N19">
        <f t="shared" si="6"/>
        <v>0.91542288557213969</v>
      </c>
    </row>
    <row r="20" spans="1:14" x14ac:dyDescent="0.25">
      <c r="A20" s="1">
        <v>19</v>
      </c>
      <c r="B20">
        <v>0.88292297960054034</v>
      </c>
      <c r="C20" s="1">
        <f t="shared" si="0"/>
        <v>24</v>
      </c>
      <c r="D20" s="1">
        <f t="shared" si="1"/>
        <v>477</v>
      </c>
      <c r="E20" s="1">
        <f t="shared" si="2"/>
        <v>400</v>
      </c>
      <c r="F20" s="1">
        <f t="shared" si="3"/>
        <v>0</v>
      </c>
      <c r="G20" s="1">
        <f t="shared" si="4"/>
        <v>2872</v>
      </c>
      <c r="L20">
        <v>482</v>
      </c>
      <c r="M20">
        <f t="shared" si="5"/>
        <v>4.9751243781094526E-3</v>
      </c>
      <c r="N20">
        <f t="shared" si="6"/>
        <v>0.91044776119403026</v>
      </c>
    </row>
    <row r="21" spans="1:14" x14ac:dyDescent="0.25">
      <c r="A21" s="1">
        <v>20</v>
      </c>
      <c r="B21">
        <v>0.47595554953132169</v>
      </c>
      <c r="C21" s="1">
        <f t="shared" si="0"/>
        <v>106</v>
      </c>
      <c r="D21" s="1">
        <f t="shared" si="1"/>
        <v>395</v>
      </c>
      <c r="E21" s="1">
        <f t="shared" si="2"/>
        <v>395</v>
      </c>
      <c r="F21" s="1">
        <f t="shared" si="3"/>
        <v>5</v>
      </c>
      <c r="G21" s="1">
        <f t="shared" si="4"/>
        <v>2834.3</v>
      </c>
      <c r="L21">
        <v>481</v>
      </c>
      <c r="M21">
        <f t="shared" si="5"/>
        <v>4.9751243781094526E-3</v>
      </c>
      <c r="N21">
        <f t="shared" si="6"/>
        <v>0.90547263681592083</v>
      </c>
    </row>
    <row r="22" spans="1:14" x14ac:dyDescent="0.25">
      <c r="A22" s="1">
        <v>21</v>
      </c>
      <c r="B22">
        <v>0.12867256718240261</v>
      </c>
      <c r="C22" s="1">
        <f t="shared" si="0"/>
        <v>176</v>
      </c>
      <c r="D22" s="1">
        <f t="shared" si="1"/>
        <v>325</v>
      </c>
      <c r="E22" s="1">
        <f t="shared" si="2"/>
        <v>325</v>
      </c>
      <c r="F22" s="1">
        <f t="shared" si="3"/>
        <v>75</v>
      </c>
      <c r="G22" s="1">
        <f t="shared" si="4"/>
        <v>2306.5</v>
      </c>
      <c r="L22">
        <v>480</v>
      </c>
      <c r="M22">
        <f t="shared" si="5"/>
        <v>4.9751243781094526E-3</v>
      </c>
      <c r="N22">
        <f t="shared" si="6"/>
        <v>0.9004975124378114</v>
      </c>
    </row>
    <row r="23" spans="1:14" x14ac:dyDescent="0.25">
      <c r="A23" s="1">
        <v>22</v>
      </c>
      <c r="B23">
        <v>0.30607333411971727</v>
      </c>
      <c r="C23" s="1">
        <f t="shared" si="0"/>
        <v>140</v>
      </c>
      <c r="D23" s="1">
        <f t="shared" si="1"/>
        <v>361</v>
      </c>
      <c r="E23" s="1">
        <f t="shared" si="2"/>
        <v>361</v>
      </c>
      <c r="F23" s="1">
        <f t="shared" si="3"/>
        <v>39</v>
      </c>
      <c r="G23" s="1">
        <f t="shared" si="4"/>
        <v>2577.94</v>
      </c>
      <c r="L23">
        <v>479</v>
      </c>
      <c r="M23">
        <f t="shared" si="5"/>
        <v>4.9751243781094526E-3</v>
      </c>
      <c r="N23">
        <f t="shared" si="6"/>
        <v>0.89552238805970197</v>
      </c>
    </row>
    <row r="24" spans="1:14" x14ac:dyDescent="0.25">
      <c r="A24" s="1">
        <v>23</v>
      </c>
      <c r="B24">
        <v>5.8314024950434029E-2</v>
      </c>
      <c r="C24" s="1">
        <f t="shared" si="0"/>
        <v>190</v>
      </c>
      <c r="D24" s="1">
        <f t="shared" si="1"/>
        <v>311</v>
      </c>
      <c r="E24" s="1">
        <f t="shared" si="2"/>
        <v>311</v>
      </c>
      <c r="F24" s="1">
        <f t="shared" si="3"/>
        <v>89</v>
      </c>
      <c r="G24" s="1">
        <f t="shared" si="4"/>
        <v>2200.94</v>
      </c>
      <c r="L24">
        <v>478</v>
      </c>
      <c r="M24">
        <f t="shared" si="5"/>
        <v>4.9751243781094526E-3</v>
      </c>
      <c r="N24">
        <f t="shared" si="6"/>
        <v>0.89054726368159254</v>
      </c>
    </row>
    <row r="25" spans="1:14" x14ac:dyDescent="0.25">
      <c r="A25" s="1">
        <v>24</v>
      </c>
      <c r="B25">
        <v>0.60939889003565606</v>
      </c>
      <c r="C25" s="1">
        <f t="shared" si="0"/>
        <v>79</v>
      </c>
      <c r="D25" s="1">
        <f t="shared" si="1"/>
        <v>422</v>
      </c>
      <c r="E25" s="1">
        <f t="shared" si="2"/>
        <v>400</v>
      </c>
      <c r="F25" s="1">
        <f t="shared" si="3"/>
        <v>0</v>
      </c>
      <c r="G25" s="1">
        <f t="shared" si="4"/>
        <v>2872</v>
      </c>
      <c r="L25">
        <v>477</v>
      </c>
      <c r="M25">
        <f t="shared" si="5"/>
        <v>4.9751243781094526E-3</v>
      </c>
      <c r="N25">
        <f t="shared" si="6"/>
        <v>0.88557213930348311</v>
      </c>
    </row>
    <row r="26" spans="1:14" x14ac:dyDescent="0.25">
      <c r="A26" s="1">
        <v>25</v>
      </c>
      <c r="B26">
        <v>0.23694576335624651</v>
      </c>
      <c r="C26" s="1">
        <f t="shared" si="0"/>
        <v>154</v>
      </c>
      <c r="D26" s="1">
        <f t="shared" si="1"/>
        <v>347</v>
      </c>
      <c r="E26" s="1">
        <f t="shared" si="2"/>
        <v>347</v>
      </c>
      <c r="F26" s="1">
        <f t="shared" si="3"/>
        <v>53</v>
      </c>
      <c r="G26" s="1">
        <f t="shared" si="4"/>
        <v>2472.38</v>
      </c>
      <c r="L26">
        <v>476</v>
      </c>
      <c r="M26">
        <f t="shared" si="5"/>
        <v>4.9751243781094526E-3</v>
      </c>
      <c r="N26">
        <f t="shared" si="6"/>
        <v>0.88059701492537368</v>
      </c>
    </row>
    <row r="27" spans="1:14" x14ac:dyDescent="0.25">
      <c r="A27" s="1">
        <v>26</v>
      </c>
      <c r="B27">
        <v>0.92070156260866254</v>
      </c>
      <c r="C27" s="1">
        <f t="shared" si="0"/>
        <v>16</v>
      </c>
      <c r="D27" s="1">
        <f t="shared" si="1"/>
        <v>485</v>
      </c>
      <c r="E27" s="1">
        <f t="shared" si="2"/>
        <v>400</v>
      </c>
      <c r="F27" s="1">
        <f t="shared" si="3"/>
        <v>0</v>
      </c>
      <c r="G27" s="1">
        <f t="shared" si="4"/>
        <v>2872</v>
      </c>
      <c r="L27">
        <v>475</v>
      </c>
      <c r="M27">
        <f t="shared" si="5"/>
        <v>4.9751243781094526E-3</v>
      </c>
      <c r="N27">
        <f t="shared" si="6"/>
        <v>0.87562189054726425</v>
      </c>
    </row>
    <row r="28" spans="1:14" x14ac:dyDescent="0.25">
      <c r="A28" s="1">
        <v>27</v>
      </c>
      <c r="B28">
        <v>0.36767837479523591</v>
      </c>
      <c r="C28" s="1">
        <f t="shared" si="0"/>
        <v>128</v>
      </c>
      <c r="D28" s="1">
        <f t="shared" si="1"/>
        <v>373</v>
      </c>
      <c r="E28" s="1">
        <f t="shared" si="2"/>
        <v>373</v>
      </c>
      <c r="F28" s="1">
        <f t="shared" si="3"/>
        <v>27</v>
      </c>
      <c r="G28" s="1">
        <f t="shared" si="4"/>
        <v>2668.42</v>
      </c>
      <c r="L28">
        <v>474</v>
      </c>
      <c r="M28">
        <f t="shared" si="5"/>
        <v>4.9751243781094526E-3</v>
      </c>
      <c r="N28">
        <f t="shared" si="6"/>
        <v>0.87064676616915482</v>
      </c>
    </row>
    <row r="29" spans="1:14" x14ac:dyDescent="0.25">
      <c r="A29" s="1">
        <v>28</v>
      </c>
      <c r="B29">
        <v>0.42804219906284802</v>
      </c>
      <c r="C29" s="1">
        <f t="shared" si="0"/>
        <v>115</v>
      </c>
      <c r="D29" s="1">
        <f t="shared" si="1"/>
        <v>386</v>
      </c>
      <c r="E29" s="1">
        <f t="shared" si="2"/>
        <v>386</v>
      </c>
      <c r="F29" s="1">
        <f t="shared" si="3"/>
        <v>14</v>
      </c>
      <c r="G29" s="1">
        <f t="shared" si="4"/>
        <v>2766.44</v>
      </c>
      <c r="L29">
        <v>473</v>
      </c>
      <c r="M29">
        <f t="shared" si="5"/>
        <v>4.9751243781094526E-3</v>
      </c>
      <c r="N29">
        <f t="shared" si="6"/>
        <v>0.86567164179104539</v>
      </c>
    </row>
    <row r="30" spans="1:14" x14ac:dyDescent="0.25">
      <c r="A30" s="1">
        <v>29</v>
      </c>
      <c r="B30">
        <v>0.84835119357980948</v>
      </c>
      <c r="C30" s="1">
        <f t="shared" si="0"/>
        <v>31</v>
      </c>
      <c r="D30" s="1">
        <f t="shared" si="1"/>
        <v>470</v>
      </c>
      <c r="E30" s="1">
        <f t="shared" si="2"/>
        <v>400</v>
      </c>
      <c r="F30" s="1">
        <f t="shared" si="3"/>
        <v>0</v>
      </c>
      <c r="G30" s="1">
        <f t="shared" si="4"/>
        <v>2872</v>
      </c>
      <c r="L30">
        <v>472</v>
      </c>
      <c r="M30">
        <f t="shared" si="5"/>
        <v>4.9751243781094526E-3</v>
      </c>
      <c r="N30">
        <f t="shared" si="6"/>
        <v>0.86069651741293596</v>
      </c>
    </row>
    <row r="31" spans="1:14" x14ac:dyDescent="0.25">
      <c r="A31" s="1">
        <v>30</v>
      </c>
      <c r="B31">
        <v>0.536182150366597</v>
      </c>
      <c r="C31" s="1">
        <f t="shared" si="0"/>
        <v>94</v>
      </c>
      <c r="D31" s="1">
        <f t="shared" si="1"/>
        <v>407</v>
      </c>
      <c r="E31" s="1">
        <f t="shared" si="2"/>
        <v>400</v>
      </c>
      <c r="F31" s="1">
        <f t="shared" si="3"/>
        <v>0</v>
      </c>
      <c r="G31" s="1">
        <f t="shared" si="4"/>
        <v>2872</v>
      </c>
      <c r="L31">
        <v>471</v>
      </c>
      <c r="M31">
        <f t="shared" si="5"/>
        <v>4.9751243781094526E-3</v>
      </c>
      <c r="N31">
        <f t="shared" si="6"/>
        <v>0.85572139303482653</v>
      </c>
    </row>
    <row r="32" spans="1:14" x14ac:dyDescent="0.25">
      <c r="A32" s="1">
        <v>31</v>
      </c>
      <c r="B32">
        <v>0.92464538148071118</v>
      </c>
      <c r="C32" s="1">
        <f t="shared" si="0"/>
        <v>16</v>
      </c>
      <c r="D32" s="1">
        <f t="shared" si="1"/>
        <v>485</v>
      </c>
      <c r="E32" s="1">
        <f t="shared" si="2"/>
        <v>400</v>
      </c>
      <c r="F32" s="1">
        <f t="shared" si="3"/>
        <v>0</v>
      </c>
      <c r="G32" s="1">
        <f t="shared" si="4"/>
        <v>2872</v>
      </c>
      <c r="L32">
        <v>470</v>
      </c>
      <c r="M32">
        <f t="shared" si="5"/>
        <v>4.9751243781094526E-3</v>
      </c>
      <c r="N32">
        <f t="shared" si="6"/>
        <v>0.8507462686567171</v>
      </c>
    </row>
    <row r="33" spans="1:14" x14ac:dyDescent="0.25">
      <c r="A33" s="1">
        <v>32</v>
      </c>
      <c r="B33">
        <v>0.32211928996405315</v>
      </c>
      <c r="C33" s="1">
        <f t="shared" si="0"/>
        <v>137</v>
      </c>
      <c r="D33" s="1">
        <f t="shared" si="1"/>
        <v>364</v>
      </c>
      <c r="E33" s="1">
        <f t="shared" si="2"/>
        <v>364</v>
      </c>
      <c r="F33" s="1">
        <f t="shared" si="3"/>
        <v>36</v>
      </c>
      <c r="G33" s="1">
        <f t="shared" si="4"/>
        <v>2600.56</v>
      </c>
      <c r="L33">
        <v>469</v>
      </c>
      <c r="M33">
        <f t="shared" si="5"/>
        <v>4.9751243781094526E-3</v>
      </c>
      <c r="N33">
        <f t="shared" si="6"/>
        <v>0.84577114427860767</v>
      </c>
    </row>
    <row r="34" spans="1:14" x14ac:dyDescent="0.25">
      <c r="A34" s="1">
        <v>33</v>
      </c>
      <c r="B34">
        <v>0.13644380857418625</v>
      </c>
      <c r="C34" s="1">
        <f t="shared" si="0"/>
        <v>174</v>
      </c>
      <c r="D34" s="1">
        <f t="shared" si="1"/>
        <v>327</v>
      </c>
      <c r="E34" s="1">
        <f t="shared" si="2"/>
        <v>327</v>
      </c>
      <c r="F34" s="1">
        <f t="shared" si="3"/>
        <v>73</v>
      </c>
      <c r="G34" s="1">
        <f t="shared" si="4"/>
        <v>2321.58</v>
      </c>
      <c r="L34">
        <v>468</v>
      </c>
      <c r="M34">
        <f t="shared" si="5"/>
        <v>4.9751243781094526E-3</v>
      </c>
      <c r="N34">
        <f t="shared" si="6"/>
        <v>0.84079601990049824</v>
      </c>
    </row>
    <row r="35" spans="1:14" x14ac:dyDescent="0.25">
      <c r="A35" s="1">
        <v>34</v>
      </c>
      <c r="B35">
        <v>0.83987712921731184</v>
      </c>
      <c r="C35" s="1">
        <f t="shared" si="0"/>
        <v>33</v>
      </c>
      <c r="D35" s="1">
        <f t="shared" si="1"/>
        <v>468</v>
      </c>
      <c r="E35" s="1">
        <f t="shared" si="2"/>
        <v>400</v>
      </c>
      <c r="F35" s="1">
        <f t="shared" si="3"/>
        <v>0</v>
      </c>
      <c r="G35" s="1">
        <f t="shared" si="4"/>
        <v>2872</v>
      </c>
      <c r="L35">
        <v>467</v>
      </c>
      <c r="M35">
        <f t="shared" si="5"/>
        <v>4.9751243781094526E-3</v>
      </c>
      <c r="N35">
        <f t="shared" si="6"/>
        <v>0.83582089552238881</v>
      </c>
    </row>
    <row r="36" spans="1:14" x14ac:dyDescent="0.25">
      <c r="A36" s="1">
        <v>35</v>
      </c>
      <c r="B36">
        <v>6.9103140916466077E-2</v>
      </c>
      <c r="C36" s="1">
        <f t="shared" si="0"/>
        <v>188</v>
      </c>
      <c r="D36" s="1">
        <f t="shared" si="1"/>
        <v>313</v>
      </c>
      <c r="E36" s="1">
        <f t="shared" si="2"/>
        <v>313</v>
      </c>
      <c r="F36" s="1">
        <f t="shared" si="3"/>
        <v>87</v>
      </c>
      <c r="G36" s="1">
        <f t="shared" si="4"/>
        <v>2216.02</v>
      </c>
      <c r="L36">
        <v>466</v>
      </c>
      <c r="M36">
        <f t="shared" si="5"/>
        <v>4.9751243781094526E-3</v>
      </c>
      <c r="N36">
        <f t="shared" si="6"/>
        <v>0.83084577114427938</v>
      </c>
    </row>
    <row r="37" spans="1:14" x14ac:dyDescent="0.25">
      <c r="A37" s="1">
        <v>36</v>
      </c>
      <c r="B37">
        <v>6.2096277858708304E-2</v>
      </c>
      <c r="C37" s="1">
        <f t="shared" si="0"/>
        <v>189</v>
      </c>
      <c r="D37" s="1">
        <f t="shared" si="1"/>
        <v>312</v>
      </c>
      <c r="E37" s="1">
        <f t="shared" si="2"/>
        <v>312</v>
      </c>
      <c r="F37" s="1">
        <f t="shared" si="3"/>
        <v>88</v>
      </c>
      <c r="G37" s="1">
        <f t="shared" si="4"/>
        <v>2208.48</v>
      </c>
      <c r="L37">
        <v>465</v>
      </c>
      <c r="M37">
        <f t="shared" si="5"/>
        <v>4.9751243781094526E-3</v>
      </c>
      <c r="N37">
        <f t="shared" si="6"/>
        <v>0.82587064676616995</v>
      </c>
    </row>
    <row r="38" spans="1:14" x14ac:dyDescent="0.25">
      <c r="A38" s="1">
        <v>37</v>
      </c>
      <c r="B38">
        <v>0.18333572853722546</v>
      </c>
      <c r="C38" s="1">
        <f t="shared" si="0"/>
        <v>165</v>
      </c>
      <c r="D38" s="1">
        <f t="shared" si="1"/>
        <v>336</v>
      </c>
      <c r="E38" s="1">
        <f t="shared" si="2"/>
        <v>336</v>
      </c>
      <c r="F38" s="1">
        <f t="shared" si="3"/>
        <v>64</v>
      </c>
      <c r="G38" s="1">
        <f t="shared" si="4"/>
        <v>2389.44</v>
      </c>
      <c r="L38">
        <v>464</v>
      </c>
      <c r="M38">
        <f t="shared" si="5"/>
        <v>4.9751243781094526E-3</v>
      </c>
      <c r="N38">
        <f t="shared" si="6"/>
        <v>0.82089552238806052</v>
      </c>
    </row>
    <row r="39" spans="1:14" x14ac:dyDescent="0.25">
      <c r="A39" s="1">
        <v>38</v>
      </c>
      <c r="B39">
        <v>0.14357785310348015</v>
      </c>
      <c r="C39" s="1">
        <f t="shared" si="0"/>
        <v>173</v>
      </c>
      <c r="D39" s="1">
        <f t="shared" si="1"/>
        <v>328</v>
      </c>
      <c r="E39" s="1">
        <f t="shared" si="2"/>
        <v>328</v>
      </c>
      <c r="F39" s="1">
        <f t="shared" si="3"/>
        <v>72</v>
      </c>
      <c r="G39" s="1">
        <f t="shared" si="4"/>
        <v>2329.12</v>
      </c>
      <c r="L39">
        <v>463</v>
      </c>
      <c r="M39">
        <f t="shared" si="5"/>
        <v>4.9751243781094526E-3</v>
      </c>
      <c r="N39">
        <f t="shared" si="6"/>
        <v>0.81592039800995109</v>
      </c>
    </row>
    <row r="40" spans="1:14" x14ac:dyDescent="0.25">
      <c r="A40" s="1">
        <v>39</v>
      </c>
      <c r="B40">
        <v>0.37093705274598909</v>
      </c>
      <c r="C40" s="1">
        <f t="shared" si="0"/>
        <v>127</v>
      </c>
      <c r="D40" s="1">
        <f t="shared" si="1"/>
        <v>374</v>
      </c>
      <c r="E40" s="1">
        <f t="shared" si="2"/>
        <v>374</v>
      </c>
      <c r="F40" s="1">
        <f t="shared" si="3"/>
        <v>26</v>
      </c>
      <c r="G40" s="1">
        <f t="shared" si="4"/>
        <v>2675.96</v>
      </c>
      <c r="L40">
        <v>462</v>
      </c>
      <c r="M40">
        <f t="shared" si="5"/>
        <v>4.9751243781094526E-3</v>
      </c>
      <c r="N40">
        <f t="shared" si="6"/>
        <v>0.81094527363184166</v>
      </c>
    </row>
    <row r="41" spans="1:14" x14ac:dyDescent="0.25">
      <c r="A41" s="1">
        <v>40</v>
      </c>
      <c r="B41">
        <v>0.61329460845250638</v>
      </c>
      <c r="C41" s="1">
        <f t="shared" si="0"/>
        <v>78</v>
      </c>
      <c r="D41" s="1">
        <f t="shared" si="1"/>
        <v>423</v>
      </c>
      <c r="E41" s="1">
        <f t="shared" si="2"/>
        <v>400</v>
      </c>
      <c r="F41" s="1">
        <f t="shared" si="3"/>
        <v>0</v>
      </c>
      <c r="G41" s="1">
        <f t="shared" si="4"/>
        <v>2872</v>
      </c>
      <c r="L41">
        <v>461</v>
      </c>
      <c r="M41">
        <f t="shared" si="5"/>
        <v>4.9751243781094526E-3</v>
      </c>
      <c r="N41">
        <f t="shared" si="6"/>
        <v>0.80597014925373223</v>
      </c>
    </row>
    <row r="42" spans="1:14" x14ac:dyDescent="0.25">
      <c r="A42" s="1">
        <v>41</v>
      </c>
      <c r="B42">
        <v>0.69160009489487706</v>
      </c>
      <c r="C42" s="1">
        <f t="shared" si="0"/>
        <v>62</v>
      </c>
      <c r="D42" s="1">
        <f t="shared" si="1"/>
        <v>439</v>
      </c>
      <c r="E42" s="1">
        <f t="shared" si="2"/>
        <v>400</v>
      </c>
      <c r="F42" s="1">
        <f t="shared" si="3"/>
        <v>0</v>
      </c>
      <c r="G42" s="1">
        <f t="shared" si="4"/>
        <v>2872</v>
      </c>
      <c r="L42">
        <v>460</v>
      </c>
      <c r="M42">
        <f t="shared" si="5"/>
        <v>4.9751243781094526E-3</v>
      </c>
      <c r="N42">
        <f t="shared" si="6"/>
        <v>0.8009950248756228</v>
      </c>
    </row>
    <row r="43" spans="1:14" x14ac:dyDescent="0.25">
      <c r="A43" s="1">
        <v>42</v>
      </c>
      <c r="B43">
        <v>0.45232195805727726</v>
      </c>
      <c r="C43" s="1">
        <f t="shared" si="0"/>
        <v>111</v>
      </c>
      <c r="D43" s="1">
        <f t="shared" si="1"/>
        <v>390</v>
      </c>
      <c r="E43" s="1">
        <f t="shared" si="2"/>
        <v>390</v>
      </c>
      <c r="F43" s="1">
        <f t="shared" si="3"/>
        <v>10</v>
      </c>
      <c r="G43" s="1">
        <f t="shared" si="4"/>
        <v>2796.6</v>
      </c>
      <c r="L43">
        <v>459</v>
      </c>
      <c r="M43">
        <f t="shared" si="5"/>
        <v>4.9751243781094526E-3</v>
      </c>
      <c r="N43">
        <f t="shared" si="6"/>
        <v>0.79601990049751337</v>
      </c>
    </row>
    <row r="44" spans="1:14" x14ac:dyDescent="0.25">
      <c r="A44" s="1">
        <v>43</v>
      </c>
      <c r="B44">
        <v>0.12089949320761073</v>
      </c>
      <c r="C44" s="1">
        <f t="shared" si="0"/>
        <v>177</v>
      </c>
      <c r="D44" s="1">
        <f t="shared" si="1"/>
        <v>324</v>
      </c>
      <c r="E44" s="1">
        <f t="shared" si="2"/>
        <v>324</v>
      </c>
      <c r="F44" s="1">
        <f t="shared" si="3"/>
        <v>76</v>
      </c>
      <c r="G44" s="1">
        <f t="shared" si="4"/>
        <v>2298.96</v>
      </c>
      <c r="L44">
        <v>458</v>
      </c>
      <c r="M44">
        <f t="shared" si="5"/>
        <v>4.9751243781094526E-3</v>
      </c>
      <c r="N44">
        <f t="shared" si="6"/>
        <v>0.79104477611940394</v>
      </c>
    </row>
    <row r="45" spans="1:14" x14ac:dyDescent="0.25">
      <c r="A45" s="1">
        <v>44</v>
      </c>
      <c r="B45">
        <v>0.66682157714239709</v>
      </c>
      <c r="C45" s="1">
        <f t="shared" si="0"/>
        <v>67</v>
      </c>
      <c r="D45" s="1">
        <f t="shared" si="1"/>
        <v>434</v>
      </c>
      <c r="E45" s="1">
        <f t="shared" si="2"/>
        <v>400</v>
      </c>
      <c r="F45" s="1">
        <f t="shared" si="3"/>
        <v>0</v>
      </c>
      <c r="G45" s="1">
        <f t="shared" si="4"/>
        <v>2872</v>
      </c>
      <c r="L45">
        <v>457</v>
      </c>
      <c r="M45">
        <f t="shared" si="5"/>
        <v>4.9751243781094526E-3</v>
      </c>
      <c r="N45">
        <f t="shared" si="6"/>
        <v>0.78606965174129451</v>
      </c>
    </row>
    <row r="46" spans="1:14" x14ac:dyDescent="0.25">
      <c r="A46" s="1">
        <v>45</v>
      </c>
      <c r="B46">
        <v>0.78813422205603123</v>
      </c>
      <c r="C46" s="1">
        <f t="shared" si="0"/>
        <v>43</v>
      </c>
      <c r="D46" s="1">
        <f t="shared" si="1"/>
        <v>458</v>
      </c>
      <c r="E46" s="1">
        <f t="shared" si="2"/>
        <v>400</v>
      </c>
      <c r="F46" s="1">
        <f t="shared" si="3"/>
        <v>0</v>
      </c>
      <c r="G46" s="1">
        <f t="shared" si="4"/>
        <v>2872</v>
      </c>
      <c r="L46">
        <v>456</v>
      </c>
      <c r="M46">
        <f t="shared" si="5"/>
        <v>4.9751243781094526E-3</v>
      </c>
      <c r="N46">
        <f t="shared" si="6"/>
        <v>0.78109452736318508</v>
      </c>
    </row>
    <row r="47" spans="1:14" x14ac:dyDescent="0.25">
      <c r="A47" s="1">
        <v>46</v>
      </c>
      <c r="B47">
        <v>0.16690260488116948</v>
      </c>
      <c r="C47" s="1">
        <f t="shared" si="0"/>
        <v>168</v>
      </c>
      <c r="D47" s="1">
        <f t="shared" si="1"/>
        <v>333</v>
      </c>
      <c r="E47" s="1">
        <f t="shared" si="2"/>
        <v>333</v>
      </c>
      <c r="F47" s="1">
        <f t="shared" si="3"/>
        <v>67</v>
      </c>
      <c r="G47" s="1">
        <f t="shared" si="4"/>
        <v>2366.8200000000002</v>
      </c>
      <c r="L47">
        <v>455</v>
      </c>
      <c r="M47">
        <f t="shared" si="5"/>
        <v>4.9751243781094526E-3</v>
      </c>
      <c r="N47">
        <f t="shared" si="6"/>
        <v>0.77611940298507565</v>
      </c>
    </row>
    <row r="48" spans="1:14" x14ac:dyDescent="0.25">
      <c r="A48" s="1">
        <v>47</v>
      </c>
      <c r="B48">
        <v>0.99550031975575071</v>
      </c>
      <c r="C48" s="1">
        <f t="shared" si="0"/>
        <v>1</v>
      </c>
      <c r="D48" s="1">
        <f t="shared" si="1"/>
        <v>500</v>
      </c>
      <c r="E48" s="1">
        <f t="shared" si="2"/>
        <v>400</v>
      </c>
      <c r="F48" s="1">
        <f t="shared" si="3"/>
        <v>0</v>
      </c>
      <c r="G48" s="1">
        <f t="shared" si="4"/>
        <v>2872</v>
      </c>
      <c r="L48">
        <v>454</v>
      </c>
      <c r="M48">
        <f t="shared" si="5"/>
        <v>4.9751243781094526E-3</v>
      </c>
      <c r="N48">
        <f t="shared" si="6"/>
        <v>0.77114427860696622</v>
      </c>
    </row>
    <row r="49" spans="1:14" x14ac:dyDescent="0.25">
      <c r="A49" s="1">
        <v>48</v>
      </c>
      <c r="B49">
        <v>2.760482740337078E-2</v>
      </c>
      <c r="C49" s="1">
        <f t="shared" si="0"/>
        <v>196</v>
      </c>
      <c r="D49" s="1">
        <f t="shared" si="1"/>
        <v>305</v>
      </c>
      <c r="E49" s="1">
        <f t="shared" si="2"/>
        <v>305</v>
      </c>
      <c r="F49" s="1">
        <f t="shared" si="3"/>
        <v>95</v>
      </c>
      <c r="G49" s="1">
        <f t="shared" si="4"/>
        <v>2155.6999999999998</v>
      </c>
      <c r="L49">
        <v>453</v>
      </c>
      <c r="M49">
        <f t="shared" si="5"/>
        <v>4.9751243781094526E-3</v>
      </c>
      <c r="N49">
        <f t="shared" si="6"/>
        <v>0.76616915422885679</v>
      </c>
    </row>
    <row r="50" spans="1:14" x14ac:dyDescent="0.25">
      <c r="A50" s="1">
        <v>49</v>
      </c>
      <c r="B50">
        <v>0.54388483910749541</v>
      </c>
      <c r="C50" s="1">
        <f t="shared" si="0"/>
        <v>92</v>
      </c>
      <c r="D50" s="1">
        <f t="shared" si="1"/>
        <v>409</v>
      </c>
      <c r="E50" s="1">
        <f t="shared" si="2"/>
        <v>400</v>
      </c>
      <c r="F50" s="1">
        <f t="shared" si="3"/>
        <v>0</v>
      </c>
      <c r="G50" s="1">
        <f t="shared" si="4"/>
        <v>2872</v>
      </c>
      <c r="L50">
        <v>452</v>
      </c>
      <c r="M50">
        <f t="shared" si="5"/>
        <v>4.9751243781094526E-3</v>
      </c>
      <c r="N50">
        <f t="shared" si="6"/>
        <v>0.76119402985074736</v>
      </c>
    </row>
    <row r="51" spans="1:14" x14ac:dyDescent="0.25">
      <c r="A51" s="1">
        <v>50</v>
      </c>
      <c r="B51">
        <v>0.46204684020370523</v>
      </c>
      <c r="C51" s="1">
        <f t="shared" si="0"/>
        <v>109</v>
      </c>
      <c r="D51" s="1">
        <f t="shared" si="1"/>
        <v>392</v>
      </c>
      <c r="E51" s="1">
        <f t="shared" si="2"/>
        <v>392</v>
      </c>
      <c r="F51" s="1">
        <f t="shared" si="3"/>
        <v>8</v>
      </c>
      <c r="G51" s="1">
        <f t="shared" si="4"/>
        <v>2811.68</v>
      </c>
      <c r="L51">
        <v>451</v>
      </c>
      <c r="M51">
        <f t="shared" si="5"/>
        <v>4.9751243781094526E-3</v>
      </c>
      <c r="N51">
        <f t="shared" si="6"/>
        <v>0.75621890547263793</v>
      </c>
    </row>
    <row r="52" spans="1:14" x14ac:dyDescent="0.25">
      <c r="A52" s="1">
        <v>51</v>
      </c>
      <c r="B52">
        <v>0.56007846093865166</v>
      </c>
      <c r="C52" s="1">
        <f t="shared" si="0"/>
        <v>89</v>
      </c>
      <c r="D52" s="1">
        <f t="shared" si="1"/>
        <v>412</v>
      </c>
      <c r="E52" s="1">
        <f t="shared" si="2"/>
        <v>400</v>
      </c>
      <c r="F52" s="1">
        <f t="shared" si="3"/>
        <v>0</v>
      </c>
      <c r="G52" s="1">
        <f t="shared" si="4"/>
        <v>2872</v>
      </c>
      <c r="L52">
        <v>450</v>
      </c>
      <c r="M52">
        <f t="shared" si="5"/>
        <v>4.9751243781094526E-3</v>
      </c>
      <c r="N52">
        <f t="shared" si="6"/>
        <v>0.7512437810945285</v>
      </c>
    </row>
    <row r="53" spans="1:14" x14ac:dyDescent="0.25">
      <c r="A53" s="1">
        <v>52</v>
      </c>
      <c r="B53">
        <v>0.9225369270973407</v>
      </c>
      <c r="C53" s="1">
        <f t="shared" si="0"/>
        <v>16</v>
      </c>
      <c r="D53" s="1">
        <f t="shared" si="1"/>
        <v>485</v>
      </c>
      <c r="E53" s="1">
        <f t="shared" si="2"/>
        <v>400</v>
      </c>
      <c r="F53" s="1">
        <f t="shared" si="3"/>
        <v>0</v>
      </c>
      <c r="G53" s="1">
        <f t="shared" si="4"/>
        <v>2872</v>
      </c>
      <c r="L53">
        <v>449</v>
      </c>
      <c r="M53">
        <f t="shared" si="5"/>
        <v>4.9751243781094526E-3</v>
      </c>
      <c r="N53">
        <f t="shared" si="6"/>
        <v>0.74626865671641907</v>
      </c>
    </row>
    <row r="54" spans="1:14" x14ac:dyDescent="0.25">
      <c r="A54" s="1">
        <v>53</v>
      </c>
      <c r="B54">
        <v>0.7406292182992944</v>
      </c>
      <c r="C54" s="1">
        <f t="shared" si="0"/>
        <v>53</v>
      </c>
      <c r="D54" s="1">
        <f t="shared" si="1"/>
        <v>448</v>
      </c>
      <c r="E54" s="1">
        <f t="shared" si="2"/>
        <v>400</v>
      </c>
      <c r="F54" s="1">
        <f t="shared" si="3"/>
        <v>0</v>
      </c>
      <c r="G54" s="1">
        <f t="shared" si="4"/>
        <v>2872</v>
      </c>
      <c r="L54">
        <v>448</v>
      </c>
      <c r="M54">
        <f t="shared" si="5"/>
        <v>4.9751243781094526E-3</v>
      </c>
      <c r="N54">
        <f t="shared" si="6"/>
        <v>0.74129353233830964</v>
      </c>
    </row>
    <row r="55" spans="1:14" x14ac:dyDescent="0.25">
      <c r="A55" s="1">
        <v>54</v>
      </c>
      <c r="B55">
        <v>0.41882946679215083</v>
      </c>
      <c r="C55" s="1">
        <f t="shared" si="0"/>
        <v>117</v>
      </c>
      <c r="D55" s="1">
        <f t="shared" si="1"/>
        <v>384</v>
      </c>
      <c r="E55" s="1">
        <f t="shared" si="2"/>
        <v>384</v>
      </c>
      <c r="F55" s="1">
        <f t="shared" si="3"/>
        <v>16</v>
      </c>
      <c r="G55" s="1">
        <f t="shared" si="4"/>
        <v>2751.36</v>
      </c>
      <c r="L55">
        <v>447</v>
      </c>
      <c r="M55">
        <f t="shared" si="5"/>
        <v>4.9751243781094526E-3</v>
      </c>
      <c r="N55">
        <f t="shared" si="6"/>
        <v>0.73631840796020021</v>
      </c>
    </row>
    <row r="56" spans="1:14" x14ac:dyDescent="0.25">
      <c r="A56" s="1">
        <v>55</v>
      </c>
      <c r="B56">
        <v>0.67056357853173243</v>
      </c>
      <c r="C56" s="1">
        <f t="shared" si="0"/>
        <v>67</v>
      </c>
      <c r="D56" s="1">
        <f t="shared" si="1"/>
        <v>434</v>
      </c>
      <c r="E56" s="1">
        <f t="shared" si="2"/>
        <v>400</v>
      </c>
      <c r="F56" s="1">
        <f t="shared" si="3"/>
        <v>0</v>
      </c>
      <c r="G56" s="1">
        <f t="shared" si="4"/>
        <v>2872</v>
      </c>
      <c r="L56">
        <v>446</v>
      </c>
      <c r="M56">
        <f t="shared" si="5"/>
        <v>4.9751243781094526E-3</v>
      </c>
      <c r="N56">
        <f t="shared" si="6"/>
        <v>0.73134328358209078</v>
      </c>
    </row>
    <row r="57" spans="1:14" x14ac:dyDescent="0.25">
      <c r="A57" s="1">
        <v>56</v>
      </c>
      <c r="B57">
        <v>0.61545291687736159</v>
      </c>
      <c r="C57" s="1">
        <f t="shared" si="0"/>
        <v>78</v>
      </c>
      <c r="D57" s="1">
        <f t="shared" si="1"/>
        <v>423</v>
      </c>
      <c r="E57" s="1">
        <f t="shared" si="2"/>
        <v>400</v>
      </c>
      <c r="F57" s="1">
        <f t="shared" si="3"/>
        <v>0</v>
      </c>
      <c r="G57" s="1">
        <f t="shared" si="4"/>
        <v>2872</v>
      </c>
      <c r="L57">
        <v>445</v>
      </c>
      <c r="M57">
        <f t="shared" si="5"/>
        <v>4.9751243781094526E-3</v>
      </c>
      <c r="N57">
        <f t="shared" si="6"/>
        <v>0.72636815920398135</v>
      </c>
    </row>
    <row r="58" spans="1:14" x14ac:dyDescent="0.25">
      <c r="A58" s="1">
        <v>57</v>
      </c>
      <c r="B58">
        <v>0.75794473296279574</v>
      </c>
      <c r="C58" s="1">
        <f t="shared" si="0"/>
        <v>49</v>
      </c>
      <c r="D58" s="1">
        <f t="shared" si="1"/>
        <v>452</v>
      </c>
      <c r="E58" s="1">
        <f t="shared" si="2"/>
        <v>400</v>
      </c>
      <c r="F58" s="1">
        <f t="shared" si="3"/>
        <v>0</v>
      </c>
      <c r="G58" s="1">
        <f t="shared" si="4"/>
        <v>2872</v>
      </c>
      <c r="L58">
        <v>444</v>
      </c>
      <c r="M58">
        <f t="shared" si="5"/>
        <v>4.9751243781094526E-3</v>
      </c>
      <c r="N58">
        <f t="shared" si="6"/>
        <v>0.72139303482587191</v>
      </c>
    </row>
    <row r="59" spans="1:14" x14ac:dyDescent="0.25">
      <c r="A59" s="1">
        <v>58</v>
      </c>
      <c r="B59">
        <v>0.86053761912705129</v>
      </c>
      <c r="C59" s="1">
        <f t="shared" si="0"/>
        <v>29</v>
      </c>
      <c r="D59" s="1">
        <f t="shared" si="1"/>
        <v>472</v>
      </c>
      <c r="E59" s="1">
        <f t="shared" si="2"/>
        <v>400</v>
      </c>
      <c r="F59" s="1">
        <f t="shared" si="3"/>
        <v>0</v>
      </c>
      <c r="G59" s="1">
        <f t="shared" si="4"/>
        <v>2872</v>
      </c>
      <c r="L59">
        <v>443</v>
      </c>
      <c r="M59">
        <f t="shared" si="5"/>
        <v>4.9751243781094526E-3</v>
      </c>
      <c r="N59">
        <f t="shared" si="6"/>
        <v>0.71641791044776248</v>
      </c>
    </row>
    <row r="60" spans="1:14" x14ac:dyDescent="0.25">
      <c r="A60" s="1">
        <v>59</v>
      </c>
      <c r="B60">
        <v>0.3574232045441138</v>
      </c>
      <c r="C60" s="1">
        <f t="shared" si="0"/>
        <v>130</v>
      </c>
      <c r="D60" s="1">
        <f t="shared" si="1"/>
        <v>371</v>
      </c>
      <c r="E60" s="1">
        <f t="shared" si="2"/>
        <v>371</v>
      </c>
      <c r="F60" s="1">
        <f t="shared" si="3"/>
        <v>29</v>
      </c>
      <c r="G60" s="1">
        <f t="shared" si="4"/>
        <v>2653.34</v>
      </c>
      <c r="L60">
        <v>442</v>
      </c>
      <c r="M60">
        <f t="shared" si="5"/>
        <v>4.9751243781094526E-3</v>
      </c>
      <c r="N60">
        <f t="shared" si="6"/>
        <v>0.71144278606965305</v>
      </c>
    </row>
    <row r="61" spans="1:14" x14ac:dyDescent="0.25">
      <c r="A61" s="1">
        <v>60</v>
      </c>
      <c r="B61">
        <v>0.26218185136248895</v>
      </c>
      <c r="C61" s="1">
        <f t="shared" si="0"/>
        <v>149</v>
      </c>
      <c r="D61" s="1">
        <f t="shared" si="1"/>
        <v>352</v>
      </c>
      <c r="E61" s="1">
        <f t="shared" si="2"/>
        <v>352</v>
      </c>
      <c r="F61" s="1">
        <f t="shared" si="3"/>
        <v>48</v>
      </c>
      <c r="G61" s="1">
        <f t="shared" si="4"/>
        <v>2510.08</v>
      </c>
      <c r="L61">
        <v>441</v>
      </c>
      <c r="M61">
        <f t="shared" si="5"/>
        <v>4.9751243781094526E-3</v>
      </c>
      <c r="N61">
        <f t="shared" si="6"/>
        <v>0.70646766169154362</v>
      </c>
    </row>
    <row r="62" spans="1:14" x14ac:dyDescent="0.25">
      <c r="A62" s="1">
        <v>61</v>
      </c>
      <c r="B62">
        <v>0.21449320174770103</v>
      </c>
      <c r="C62" s="1">
        <f t="shared" si="0"/>
        <v>158</v>
      </c>
      <c r="D62" s="1">
        <f t="shared" si="1"/>
        <v>343</v>
      </c>
      <c r="E62" s="1">
        <f t="shared" si="2"/>
        <v>343</v>
      </c>
      <c r="F62" s="1">
        <f t="shared" si="3"/>
        <v>57</v>
      </c>
      <c r="G62" s="1">
        <f t="shared" si="4"/>
        <v>2442.2199999999998</v>
      </c>
      <c r="L62">
        <v>440</v>
      </c>
      <c r="M62">
        <f t="shared" si="5"/>
        <v>4.9751243781094526E-3</v>
      </c>
      <c r="N62">
        <f t="shared" si="6"/>
        <v>0.70149253731343419</v>
      </c>
    </row>
    <row r="63" spans="1:14" x14ac:dyDescent="0.25">
      <c r="A63" s="1">
        <v>62</v>
      </c>
      <c r="B63">
        <v>0.56860564286351312</v>
      </c>
      <c r="C63" s="1">
        <f t="shared" si="0"/>
        <v>87</v>
      </c>
      <c r="D63" s="1">
        <f t="shared" si="1"/>
        <v>414</v>
      </c>
      <c r="E63" s="1">
        <f t="shared" si="2"/>
        <v>400</v>
      </c>
      <c r="F63" s="1">
        <f t="shared" si="3"/>
        <v>0</v>
      </c>
      <c r="G63" s="1">
        <f t="shared" si="4"/>
        <v>2872</v>
      </c>
      <c r="L63">
        <v>439</v>
      </c>
      <c r="M63">
        <f t="shared" si="5"/>
        <v>4.9751243781094526E-3</v>
      </c>
      <c r="N63">
        <f t="shared" si="6"/>
        <v>0.69651741293532476</v>
      </c>
    </row>
    <row r="64" spans="1:14" x14ac:dyDescent="0.25">
      <c r="A64" s="1">
        <v>63</v>
      </c>
      <c r="B64">
        <v>0.11125633512382316</v>
      </c>
      <c r="C64" s="1">
        <f t="shared" si="0"/>
        <v>179</v>
      </c>
      <c r="D64" s="1">
        <f t="shared" si="1"/>
        <v>322</v>
      </c>
      <c r="E64" s="1">
        <f t="shared" si="2"/>
        <v>322</v>
      </c>
      <c r="F64" s="1">
        <f t="shared" si="3"/>
        <v>78</v>
      </c>
      <c r="G64" s="1">
        <f t="shared" si="4"/>
        <v>2283.88</v>
      </c>
      <c r="L64">
        <v>438</v>
      </c>
      <c r="M64">
        <f t="shared" si="5"/>
        <v>4.9751243781094526E-3</v>
      </c>
      <c r="N64">
        <f t="shared" si="6"/>
        <v>0.69154228855721533</v>
      </c>
    </row>
    <row r="65" spans="1:14" x14ac:dyDescent="0.25">
      <c r="A65" s="1">
        <v>64</v>
      </c>
      <c r="B65">
        <v>0.54403851217242138</v>
      </c>
      <c r="C65" s="1">
        <f t="shared" si="0"/>
        <v>92</v>
      </c>
      <c r="D65" s="1">
        <f t="shared" si="1"/>
        <v>409</v>
      </c>
      <c r="E65" s="1">
        <f t="shared" si="2"/>
        <v>400</v>
      </c>
      <c r="F65" s="1">
        <f t="shared" si="3"/>
        <v>0</v>
      </c>
      <c r="G65" s="1">
        <f t="shared" si="4"/>
        <v>2872</v>
      </c>
      <c r="L65">
        <v>437</v>
      </c>
      <c r="M65">
        <f t="shared" si="5"/>
        <v>4.9751243781094526E-3</v>
      </c>
      <c r="N65">
        <f t="shared" si="6"/>
        <v>0.6865671641791059</v>
      </c>
    </row>
    <row r="66" spans="1:14" x14ac:dyDescent="0.25">
      <c r="A66" s="1">
        <v>65</v>
      </c>
      <c r="B66">
        <v>9.4577937376739918E-2</v>
      </c>
      <c r="C66" s="1">
        <f t="shared" ref="C66:C129" si="7">MATCH(B66,$N$2:$N$202,-1)</f>
        <v>182</v>
      </c>
      <c r="D66" s="1">
        <f t="shared" ref="D66:D129" si="8">INDEX($L$2:$L$202,C66)</f>
        <v>319</v>
      </c>
      <c r="E66" s="1">
        <f t="shared" si="2"/>
        <v>319</v>
      </c>
      <c r="F66" s="1">
        <f t="shared" si="3"/>
        <v>81</v>
      </c>
      <c r="G66" s="1">
        <f t="shared" si="4"/>
        <v>2261.2600000000002</v>
      </c>
      <c r="L66">
        <v>436</v>
      </c>
      <c r="M66">
        <f t="shared" si="5"/>
        <v>4.9751243781094526E-3</v>
      </c>
      <c r="N66">
        <f t="shared" si="6"/>
        <v>0.68159203980099647</v>
      </c>
    </row>
    <row r="67" spans="1:14" x14ac:dyDescent="0.25">
      <c r="A67" s="1">
        <v>66</v>
      </c>
      <c r="B67">
        <v>0.32983030316036632</v>
      </c>
      <c r="C67" s="1">
        <f t="shared" si="7"/>
        <v>135</v>
      </c>
      <c r="D67" s="1">
        <f t="shared" si="8"/>
        <v>366</v>
      </c>
      <c r="E67" s="1">
        <f t="shared" ref="E67:E130" si="9">MIN(D67,$I$2)</f>
        <v>366</v>
      </c>
      <c r="F67" s="1">
        <f t="shared" ref="F67:F130" si="10">$I$2-E67</f>
        <v>34</v>
      </c>
      <c r="G67" s="1">
        <f t="shared" ref="G67:G130" si="11">7.5*E67-$I$2/25*8-F67/25*1</f>
        <v>2615.64</v>
      </c>
      <c r="L67">
        <v>435</v>
      </c>
      <c r="M67">
        <f t="shared" ref="M67:M130" si="12">1/COUNT($L$2:$L$202)</f>
        <v>4.9751243781094526E-3</v>
      </c>
      <c r="N67">
        <f t="shared" si="6"/>
        <v>0.67661691542288704</v>
      </c>
    </row>
    <row r="68" spans="1:14" x14ac:dyDescent="0.25">
      <c r="A68" s="1">
        <v>67</v>
      </c>
      <c r="B68">
        <v>0.75288381317594322</v>
      </c>
      <c r="C68" s="1">
        <f t="shared" si="7"/>
        <v>50</v>
      </c>
      <c r="D68" s="1">
        <f t="shared" si="8"/>
        <v>451</v>
      </c>
      <c r="E68" s="1">
        <f t="shared" si="9"/>
        <v>400</v>
      </c>
      <c r="F68" s="1">
        <f t="shared" si="10"/>
        <v>0</v>
      </c>
      <c r="G68" s="1">
        <f t="shared" si="11"/>
        <v>2872</v>
      </c>
      <c r="L68">
        <v>434</v>
      </c>
      <c r="M68">
        <f t="shared" si="12"/>
        <v>4.9751243781094526E-3</v>
      </c>
      <c r="N68">
        <f t="shared" ref="N68:N131" si="13">N67-M68</f>
        <v>0.67164179104477761</v>
      </c>
    </row>
    <row r="69" spans="1:14" x14ac:dyDescent="0.25">
      <c r="A69" s="1">
        <v>68</v>
      </c>
      <c r="B69">
        <v>0.59859779682556025</v>
      </c>
      <c r="C69" s="1">
        <f t="shared" si="7"/>
        <v>81</v>
      </c>
      <c r="D69" s="1">
        <f t="shared" si="8"/>
        <v>420</v>
      </c>
      <c r="E69" s="1">
        <f t="shared" si="9"/>
        <v>400</v>
      </c>
      <c r="F69" s="1">
        <f t="shared" si="10"/>
        <v>0</v>
      </c>
      <c r="G69" s="1">
        <f t="shared" si="11"/>
        <v>2872</v>
      </c>
      <c r="L69">
        <v>433</v>
      </c>
      <c r="M69">
        <f t="shared" si="12"/>
        <v>4.9751243781094526E-3</v>
      </c>
      <c r="N69">
        <f t="shared" si="13"/>
        <v>0.66666666666666818</v>
      </c>
    </row>
    <row r="70" spans="1:14" x14ac:dyDescent="0.25">
      <c r="A70" s="1">
        <v>69</v>
      </c>
      <c r="B70">
        <v>4.6281766207342478E-2</v>
      </c>
      <c r="C70" s="1">
        <f t="shared" si="7"/>
        <v>192</v>
      </c>
      <c r="D70" s="1">
        <f t="shared" si="8"/>
        <v>309</v>
      </c>
      <c r="E70" s="1">
        <f t="shared" si="9"/>
        <v>309</v>
      </c>
      <c r="F70" s="1">
        <f t="shared" si="10"/>
        <v>91</v>
      </c>
      <c r="G70" s="1">
        <f t="shared" si="11"/>
        <v>2185.86</v>
      </c>
      <c r="L70">
        <v>432</v>
      </c>
      <c r="M70">
        <f t="shared" si="12"/>
        <v>4.9751243781094526E-3</v>
      </c>
      <c r="N70">
        <f t="shared" si="13"/>
        <v>0.66169154228855875</v>
      </c>
    </row>
    <row r="71" spans="1:14" x14ac:dyDescent="0.25">
      <c r="A71" s="1">
        <v>70</v>
      </c>
      <c r="B71">
        <v>0.42165405179680993</v>
      </c>
      <c r="C71" s="1">
        <f t="shared" si="7"/>
        <v>117</v>
      </c>
      <c r="D71" s="1">
        <f t="shared" si="8"/>
        <v>384</v>
      </c>
      <c r="E71" s="1">
        <f t="shared" si="9"/>
        <v>384</v>
      </c>
      <c r="F71" s="1">
        <f t="shared" si="10"/>
        <v>16</v>
      </c>
      <c r="G71" s="1">
        <f t="shared" si="11"/>
        <v>2751.36</v>
      </c>
      <c r="L71">
        <v>431</v>
      </c>
      <c r="M71">
        <f t="shared" si="12"/>
        <v>4.9751243781094526E-3</v>
      </c>
      <c r="N71">
        <f t="shared" si="13"/>
        <v>0.65671641791044932</v>
      </c>
    </row>
    <row r="72" spans="1:14" x14ac:dyDescent="0.25">
      <c r="A72" s="1">
        <v>71</v>
      </c>
      <c r="B72">
        <v>0.64349260528962404</v>
      </c>
      <c r="C72" s="1">
        <f t="shared" si="7"/>
        <v>72</v>
      </c>
      <c r="D72" s="1">
        <f t="shared" si="8"/>
        <v>429</v>
      </c>
      <c r="E72" s="1">
        <f t="shared" si="9"/>
        <v>400</v>
      </c>
      <c r="F72" s="1">
        <f t="shared" si="10"/>
        <v>0</v>
      </c>
      <c r="G72" s="1">
        <f t="shared" si="11"/>
        <v>2872</v>
      </c>
      <c r="L72">
        <v>430</v>
      </c>
      <c r="M72">
        <f t="shared" si="12"/>
        <v>4.9751243781094526E-3</v>
      </c>
      <c r="N72">
        <f t="shared" si="13"/>
        <v>0.65174129353233989</v>
      </c>
    </row>
    <row r="73" spans="1:14" x14ac:dyDescent="0.25">
      <c r="A73" s="1">
        <v>72</v>
      </c>
      <c r="B73">
        <v>0.23148989089239236</v>
      </c>
      <c r="C73" s="1">
        <f t="shared" si="7"/>
        <v>155</v>
      </c>
      <c r="D73" s="1">
        <f t="shared" si="8"/>
        <v>346</v>
      </c>
      <c r="E73" s="1">
        <f t="shared" si="9"/>
        <v>346</v>
      </c>
      <c r="F73" s="1">
        <f t="shared" si="10"/>
        <v>54</v>
      </c>
      <c r="G73" s="1">
        <f t="shared" si="11"/>
        <v>2464.84</v>
      </c>
      <c r="L73">
        <v>429</v>
      </c>
      <c r="M73">
        <f t="shared" si="12"/>
        <v>4.9751243781094526E-3</v>
      </c>
      <c r="N73">
        <f t="shared" si="13"/>
        <v>0.64676616915423046</v>
      </c>
    </row>
    <row r="74" spans="1:14" x14ac:dyDescent="0.25">
      <c r="A74" s="1">
        <v>73</v>
      </c>
      <c r="B74">
        <v>0.53922177471672139</v>
      </c>
      <c r="C74" s="1">
        <f t="shared" si="7"/>
        <v>93</v>
      </c>
      <c r="D74" s="1">
        <f t="shared" si="8"/>
        <v>408</v>
      </c>
      <c r="E74" s="1">
        <f t="shared" si="9"/>
        <v>400</v>
      </c>
      <c r="F74" s="1">
        <f t="shared" si="10"/>
        <v>0</v>
      </c>
      <c r="G74" s="1">
        <f t="shared" si="11"/>
        <v>2872</v>
      </c>
      <c r="L74">
        <v>428</v>
      </c>
      <c r="M74">
        <f t="shared" si="12"/>
        <v>4.9751243781094526E-3</v>
      </c>
      <c r="N74">
        <f t="shared" si="13"/>
        <v>0.64179104477612103</v>
      </c>
    </row>
    <row r="75" spans="1:14" x14ac:dyDescent="0.25">
      <c r="A75" s="1">
        <v>74</v>
      </c>
      <c r="B75">
        <v>0.54778750617905214</v>
      </c>
      <c r="C75" s="1">
        <f t="shared" si="7"/>
        <v>91</v>
      </c>
      <c r="D75" s="1">
        <f t="shared" si="8"/>
        <v>410</v>
      </c>
      <c r="E75" s="1">
        <f t="shared" si="9"/>
        <v>400</v>
      </c>
      <c r="F75" s="1">
        <f t="shared" si="10"/>
        <v>0</v>
      </c>
      <c r="G75" s="1">
        <f t="shared" si="11"/>
        <v>2872</v>
      </c>
      <c r="L75">
        <v>427</v>
      </c>
      <c r="M75">
        <f t="shared" si="12"/>
        <v>4.9751243781094526E-3</v>
      </c>
      <c r="N75">
        <f t="shared" si="13"/>
        <v>0.6368159203980116</v>
      </c>
    </row>
    <row r="76" spans="1:14" x14ac:dyDescent="0.25">
      <c r="A76" s="1">
        <v>75</v>
      </c>
      <c r="B76">
        <v>1.8818157145280789E-2</v>
      </c>
      <c r="C76" s="1">
        <f t="shared" si="7"/>
        <v>198</v>
      </c>
      <c r="D76" s="1">
        <f t="shared" si="8"/>
        <v>303</v>
      </c>
      <c r="E76" s="1">
        <f t="shared" si="9"/>
        <v>303</v>
      </c>
      <c r="F76" s="1">
        <f t="shared" si="10"/>
        <v>97</v>
      </c>
      <c r="G76" s="1">
        <f t="shared" si="11"/>
        <v>2140.62</v>
      </c>
      <c r="L76">
        <v>426</v>
      </c>
      <c r="M76">
        <f t="shared" si="12"/>
        <v>4.9751243781094526E-3</v>
      </c>
      <c r="N76">
        <f t="shared" si="13"/>
        <v>0.63184079601990217</v>
      </c>
    </row>
    <row r="77" spans="1:14" x14ac:dyDescent="0.25">
      <c r="A77" s="1">
        <v>76</v>
      </c>
      <c r="B77">
        <v>0.18987168734848903</v>
      </c>
      <c r="C77" s="1">
        <f t="shared" si="7"/>
        <v>163</v>
      </c>
      <c r="D77" s="1">
        <f t="shared" si="8"/>
        <v>338</v>
      </c>
      <c r="E77" s="1">
        <f t="shared" si="9"/>
        <v>338</v>
      </c>
      <c r="F77" s="1">
        <f t="shared" si="10"/>
        <v>62</v>
      </c>
      <c r="G77" s="1">
        <f t="shared" si="11"/>
        <v>2404.52</v>
      </c>
      <c r="L77">
        <v>425</v>
      </c>
      <c r="M77">
        <f t="shared" si="12"/>
        <v>4.9751243781094526E-3</v>
      </c>
      <c r="N77">
        <f t="shared" si="13"/>
        <v>0.62686567164179274</v>
      </c>
    </row>
    <row r="78" spans="1:14" x14ac:dyDescent="0.25">
      <c r="A78" s="1">
        <v>77</v>
      </c>
      <c r="B78">
        <v>0.76218319872968388</v>
      </c>
      <c r="C78" s="1">
        <f t="shared" si="7"/>
        <v>48</v>
      </c>
      <c r="D78" s="1">
        <f t="shared" si="8"/>
        <v>453</v>
      </c>
      <c r="E78" s="1">
        <f t="shared" si="9"/>
        <v>400</v>
      </c>
      <c r="F78" s="1">
        <f t="shared" si="10"/>
        <v>0</v>
      </c>
      <c r="G78" s="1">
        <f t="shared" si="11"/>
        <v>2872</v>
      </c>
      <c r="L78">
        <v>424</v>
      </c>
      <c r="M78">
        <f t="shared" si="12"/>
        <v>4.9751243781094526E-3</v>
      </c>
      <c r="N78">
        <f t="shared" si="13"/>
        <v>0.62189054726368331</v>
      </c>
    </row>
    <row r="79" spans="1:14" x14ac:dyDescent="0.25">
      <c r="A79" s="1">
        <v>78</v>
      </c>
      <c r="B79">
        <v>0.29055700528964612</v>
      </c>
      <c r="C79" s="1">
        <f t="shared" si="7"/>
        <v>143</v>
      </c>
      <c r="D79" s="1">
        <f t="shared" si="8"/>
        <v>358</v>
      </c>
      <c r="E79" s="1">
        <f t="shared" si="9"/>
        <v>358</v>
      </c>
      <c r="F79" s="1">
        <f t="shared" si="10"/>
        <v>42</v>
      </c>
      <c r="G79" s="1">
        <f t="shared" si="11"/>
        <v>2555.3200000000002</v>
      </c>
      <c r="L79">
        <v>423</v>
      </c>
      <c r="M79">
        <f t="shared" si="12"/>
        <v>4.9751243781094526E-3</v>
      </c>
      <c r="N79">
        <f t="shared" si="13"/>
        <v>0.61691542288557388</v>
      </c>
    </row>
    <row r="80" spans="1:14" x14ac:dyDescent="0.25">
      <c r="A80" s="1">
        <v>79</v>
      </c>
      <c r="B80">
        <v>0.46180895449689419</v>
      </c>
      <c r="C80" s="1">
        <f t="shared" si="7"/>
        <v>109</v>
      </c>
      <c r="D80" s="1">
        <f t="shared" si="8"/>
        <v>392</v>
      </c>
      <c r="E80" s="1">
        <f t="shared" si="9"/>
        <v>392</v>
      </c>
      <c r="F80" s="1">
        <f t="shared" si="10"/>
        <v>8</v>
      </c>
      <c r="G80" s="1">
        <f t="shared" si="11"/>
        <v>2811.68</v>
      </c>
      <c r="L80">
        <v>422</v>
      </c>
      <c r="M80">
        <f t="shared" si="12"/>
        <v>4.9751243781094526E-3</v>
      </c>
      <c r="N80">
        <f t="shared" si="13"/>
        <v>0.61194029850746445</v>
      </c>
    </row>
    <row r="81" spans="1:14" x14ac:dyDescent="0.25">
      <c r="A81" s="1">
        <v>80</v>
      </c>
      <c r="B81">
        <v>0.73953742105028908</v>
      </c>
      <c r="C81" s="1">
        <f t="shared" si="7"/>
        <v>53</v>
      </c>
      <c r="D81" s="1">
        <f t="shared" si="8"/>
        <v>448</v>
      </c>
      <c r="E81" s="1">
        <f t="shared" si="9"/>
        <v>400</v>
      </c>
      <c r="F81" s="1">
        <f t="shared" si="10"/>
        <v>0</v>
      </c>
      <c r="G81" s="1">
        <f t="shared" si="11"/>
        <v>2872</v>
      </c>
      <c r="L81">
        <v>421</v>
      </c>
      <c r="M81">
        <f t="shared" si="12"/>
        <v>4.9751243781094526E-3</v>
      </c>
      <c r="N81">
        <f t="shared" si="13"/>
        <v>0.60696517412935502</v>
      </c>
    </row>
    <row r="82" spans="1:14" x14ac:dyDescent="0.25">
      <c r="A82" s="1">
        <v>81</v>
      </c>
      <c r="B82">
        <v>0.69501669885441986</v>
      </c>
      <c r="C82" s="1">
        <f t="shared" si="7"/>
        <v>62</v>
      </c>
      <c r="D82" s="1">
        <f t="shared" si="8"/>
        <v>439</v>
      </c>
      <c r="E82" s="1">
        <f t="shared" si="9"/>
        <v>400</v>
      </c>
      <c r="F82" s="1">
        <f t="shared" si="10"/>
        <v>0</v>
      </c>
      <c r="G82" s="1">
        <f t="shared" si="11"/>
        <v>2872</v>
      </c>
      <c r="L82">
        <v>420</v>
      </c>
      <c r="M82">
        <f t="shared" si="12"/>
        <v>4.9751243781094526E-3</v>
      </c>
      <c r="N82">
        <f t="shared" si="13"/>
        <v>0.60199004975124559</v>
      </c>
    </row>
    <row r="83" spans="1:14" x14ac:dyDescent="0.25">
      <c r="A83" s="1">
        <v>82</v>
      </c>
      <c r="B83">
        <v>0.846237905645009</v>
      </c>
      <c r="C83" s="1">
        <f t="shared" si="7"/>
        <v>31</v>
      </c>
      <c r="D83" s="1">
        <f t="shared" si="8"/>
        <v>470</v>
      </c>
      <c r="E83" s="1">
        <f t="shared" si="9"/>
        <v>400</v>
      </c>
      <c r="F83" s="1">
        <f t="shared" si="10"/>
        <v>0</v>
      </c>
      <c r="G83" s="1">
        <f t="shared" si="11"/>
        <v>2872</v>
      </c>
      <c r="L83">
        <v>419</v>
      </c>
      <c r="M83">
        <f t="shared" si="12"/>
        <v>4.9751243781094526E-3</v>
      </c>
      <c r="N83">
        <f t="shared" si="13"/>
        <v>0.59701492537313616</v>
      </c>
    </row>
    <row r="84" spans="1:14" x14ac:dyDescent="0.25">
      <c r="A84" s="1">
        <v>83</v>
      </c>
      <c r="B84">
        <v>0.32959114930969691</v>
      </c>
      <c r="C84" s="1">
        <f t="shared" si="7"/>
        <v>135</v>
      </c>
      <c r="D84" s="1">
        <f t="shared" si="8"/>
        <v>366</v>
      </c>
      <c r="E84" s="1">
        <f t="shared" si="9"/>
        <v>366</v>
      </c>
      <c r="F84" s="1">
        <f t="shared" si="10"/>
        <v>34</v>
      </c>
      <c r="G84" s="1">
        <f t="shared" si="11"/>
        <v>2615.64</v>
      </c>
      <c r="L84">
        <v>418</v>
      </c>
      <c r="M84">
        <f t="shared" si="12"/>
        <v>4.9751243781094526E-3</v>
      </c>
      <c r="N84">
        <f t="shared" si="13"/>
        <v>0.59203980099502673</v>
      </c>
    </row>
    <row r="85" spans="1:14" x14ac:dyDescent="0.25">
      <c r="A85" s="1">
        <v>84</v>
      </c>
      <c r="B85">
        <v>0.29297088855036224</v>
      </c>
      <c r="C85" s="1">
        <f t="shared" si="7"/>
        <v>143</v>
      </c>
      <c r="D85" s="1">
        <f t="shared" si="8"/>
        <v>358</v>
      </c>
      <c r="E85" s="1">
        <f t="shared" si="9"/>
        <v>358</v>
      </c>
      <c r="F85" s="1">
        <f t="shared" si="10"/>
        <v>42</v>
      </c>
      <c r="G85" s="1">
        <f t="shared" si="11"/>
        <v>2555.3200000000002</v>
      </c>
      <c r="L85">
        <v>417</v>
      </c>
      <c r="M85">
        <f t="shared" si="12"/>
        <v>4.9751243781094526E-3</v>
      </c>
      <c r="N85">
        <f t="shared" si="13"/>
        <v>0.5870646766169173</v>
      </c>
    </row>
    <row r="86" spans="1:14" x14ac:dyDescent="0.25">
      <c r="A86" s="1">
        <v>85</v>
      </c>
      <c r="B86">
        <v>0.62377506011364314</v>
      </c>
      <c r="C86" s="1">
        <f t="shared" si="7"/>
        <v>76</v>
      </c>
      <c r="D86" s="1">
        <f t="shared" si="8"/>
        <v>425</v>
      </c>
      <c r="E86" s="1">
        <f t="shared" si="9"/>
        <v>400</v>
      </c>
      <c r="F86" s="1">
        <f t="shared" si="10"/>
        <v>0</v>
      </c>
      <c r="G86" s="1">
        <f t="shared" si="11"/>
        <v>2872</v>
      </c>
      <c r="L86">
        <v>416</v>
      </c>
      <c r="M86">
        <f t="shared" si="12"/>
        <v>4.9751243781094526E-3</v>
      </c>
      <c r="N86">
        <f t="shared" si="13"/>
        <v>0.58208955223880787</v>
      </c>
    </row>
    <row r="87" spans="1:14" x14ac:dyDescent="0.25">
      <c r="A87" s="1">
        <v>86</v>
      </c>
      <c r="B87">
        <v>0.8202802992051883</v>
      </c>
      <c r="C87" s="1">
        <f t="shared" si="7"/>
        <v>37</v>
      </c>
      <c r="D87" s="1">
        <f t="shared" si="8"/>
        <v>464</v>
      </c>
      <c r="E87" s="1">
        <f t="shared" si="9"/>
        <v>400</v>
      </c>
      <c r="F87" s="1">
        <f t="shared" si="10"/>
        <v>0</v>
      </c>
      <c r="G87" s="1">
        <f t="shared" si="11"/>
        <v>2872</v>
      </c>
      <c r="L87">
        <v>415</v>
      </c>
      <c r="M87">
        <f t="shared" si="12"/>
        <v>4.9751243781094526E-3</v>
      </c>
      <c r="N87">
        <f t="shared" si="13"/>
        <v>0.57711442786069844</v>
      </c>
    </row>
    <row r="88" spans="1:14" x14ac:dyDescent="0.25">
      <c r="A88" s="1">
        <v>87</v>
      </c>
      <c r="B88">
        <v>0.70428702882091176</v>
      </c>
      <c r="C88" s="1">
        <f t="shared" si="7"/>
        <v>60</v>
      </c>
      <c r="D88" s="1">
        <f t="shared" si="8"/>
        <v>441</v>
      </c>
      <c r="E88" s="1">
        <f t="shared" si="9"/>
        <v>400</v>
      </c>
      <c r="F88" s="1">
        <f t="shared" si="10"/>
        <v>0</v>
      </c>
      <c r="G88" s="1">
        <f t="shared" si="11"/>
        <v>2872</v>
      </c>
      <c r="L88">
        <v>414</v>
      </c>
      <c r="M88">
        <f t="shared" si="12"/>
        <v>4.9751243781094526E-3</v>
      </c>
      <c r="N88">
        <f t="shared" si="13"/>
        <v>0.57213930348258901</v>
      </c>
    </row>
    <row r="89" spans="1:14" x14ac:dyDescent="0.25">
      <c r="A89" s="1">
        <v>88</v>
      </c>
      <c r="B89">
        <v>0.82827283768651949</v>
      </c>
      <c r="C89" s="1">
        <f t="shared" si="7"/>
        <v>35</v>
      </c>
      <c r="D89" s="1">
        <f t="shared" si="8"/>
        <v>466</v>
      </c>
      <c r="E89" s="1">
        <f t="shared" si="9"/>
        <v>400</v>
      </c>
      <c r="F89" s="1">
        <f t="shared" si="10"/>
        <v>0</v>
      </c>
      <c r="G89" s="1">
        <f t="shared" si="11"/>
        <v>2872</v>
      </c>
      <c r="L89">
        <v>413</v>
      </c>
      <c r="M89">
        <f t="shared" si="12"/>
        <v>4.9751243781094526E-3</v>
      </c>
      <c r="N89">
        <f t="shared" si="13"/>
        <v>0.56716417910447958</v>
      </c>
    </row>
    <row r="90" spans="1:14" x14ac:dyDescent="0.25">
      <c r="A90" s="1">
        <v>89</v>
      </c>
      <c r="B90">
        <v>0.14529228479069767</v>
      </c>
      <c r="C90" s="1">
        <f t="shared" si="7"/>
        <v>172</v>
      </c>
      <c r="D90" s="1">
        <f t="shared" si="8"/>
        <v>329</v>
      </c>
      <c r="E90" s="1">
        <f t="shared" si="9"/>
        <v>329</v>
      </c>
      <c r="F90" s="1">
        <f t="shared" si="10"/>
        <v>71</v>
      </c>
      <c r="G90" s="1">
        <f t="shared" si="11"/>
        <v>2336.66</v>
      </c>
      <c r="L90">
        <v>412</v>
      </c>
      <c r="M90">
        <f t="shared" si="12"/>
        <v>4.9751243781094526E-3</v>
      </c>
      <c r="N90">
        <f t="shared" si="13"/>
        <v>0.56218905472637015</v>
      </c>
    </row>
    <row r="91" spans="1:14" x14ac:dyDescent="0.25">
      <c r="A91" s="1">
        <v>90</v>
      </c>
      <c r="B91">
        <v>0.80024080179691992</v>
      </c>
      <c r="C91" s="1">
        <f t="shared" si="7"/>
        <v>41</v>
      </c>
      <c r="D91" s="1">
        <f t="shared" si="8"/>
        <v>460</v>
      </c>
      <c r="E91" s="1">
        <f t="shared" si="9"/>
        <v>400</v>
      </c>
      <c r="F91" s="1">
        <f t="shared" si="10"/>
        <v>0</v>
      </c>
      <c r="G91" s="1">
        <f t="shared" si="11"/>
        <v>2872</v>
      </c>
      <c r="L91">
        <v>411</v>
      </c>
      <c r="M91">
        <f t="shared" si="12"/>
        <v>4.9751243781094526E-3</v>
      </c>
      <c r="N91">
        <f t="shared" si="13"/>
        <v>0.55721393034826072</v>
      </c>
    </row>
    <row r="92" spans="1:14" x14ac:dyDescent="0.25">
      <c r="A92" s="1">
        <v>91</v>
      </c>
      <c r="B92">
        <v>0.65567140972498383</v>
      </c>
      <c r="C92" s="1">
        <f t="shared" si="7"/>
        <v>70</v>
      </c>
      <c r="D92" s="1">
        <f t="shared" si="8"/>
        <v>431</v>
      </c>
      <c r="E92" s="1">
        <f t="shared" si="9"/>
        <v>400</v>
      </c>
      <c r="F92" s="1">
        <f t="shared" si="10"/>
        <v>0</v>
      </c>
      <c r="G92" s="1">
        <f t="shared" si="11"/>
        <v>2872</v>
      </c>
      <c r="L92">
        <v>410</v>
      </c>
      <c r="M92">
        <f t="shared" si="12"/>
        <v>4.9751243781094526E-3</v>
      </c>
      <c r="N92">
        <f t="shared" si="13"/>
        <v>0.55223880597015129</v>
      </c>
    </row>
    <row r="93" spans="1:14" x14ac:dyDescent="0.25">
      <c r="A93" s="1">
        <v>92</v>
      </c>
      <c r="B93">
        <v>0.68454091665342753</v>
      </c>
      <c r="C93" s="1">
        <f t="shared" si="7"/>
        <v>64</v>
      </c>
      <c r="D93" s="1">
        <f t="shared" si="8"/>
        <v>437</v>
      </c>
      <c r="E93" s="1">
        <f t="shared" si="9"/>
        <v>400</v>
      </c>
      <c r="F93" s="1">
        <f t="shared" si="10"/>
        <v>0</v>
      </c>
      <c r="G93" s="1">
        <f t="shared" si="11"/>
        <v>2872</v>
      </c>
      <c r="L93">
        <v>409</v>
      </c>
      <c r="M93">
        <f t="shared" si="12"/>
        <v>4.9751243781094526E-3</v>
      </c>
      <c r="N93">
        <f t="shared" si="13"/>
        <v>0.54726368159204186</v>
      </c>
    </row>
    <row r="94" spans="1:14" x14ac:dyDescent="0.25">
      <c r="A94" s="1">
        <v>93</v>
      </c>
      <c r="B94">
        <v>3.984847101461586E-2</v>
      </c>
      <c r="C94" s="1">
        <f t="shared" si="7"/>
        <v>193</v>
      </c>
      <c r="D94" s="1">
        <f t="shared" si="8"/>
        <v>308</v>
      </c>
      <c r="E94" s="1">
        <f t="shared" si="9"/>
        <v>308</v>
      </c>
      <c r="F94" s="1">
        <f t="shared" si="10"/>
        <v>92</v>
      </c>
      <c r="G94" s="1">
        <f t="shared" si="11"/>
        <v>2178.3200000000002</v>
      </c>
      <c r="L94">
        <v>408</v>
      </c>
      <c r="M94">
        <f t="shared" si="12"/>
        <v>4.9751243781094526E-3</v>
      </c>
      <c r="N94">
        <f t="shared" si="13"/>
        <v>0.54228855721393243</v>
      </c>
    </row>
    <row r="95" spans="1:14" x14ac:dyDescent="0.25">
      <c r="A95" s="1">
        <v>94</v>
      </c>
      <c r="B95">
        <v>9.4981943002288793E-2</v>
      </c>
      <c r="C95" s="1">
        <f t="shared" si="7"/>
        <v>182</v>
      </c>
      <c r="D95" s="1">
        <f t="shared" si="8"/>
        <v>319</v>
      </c>
      <c r="E95" s="1">
        <f t="shared" si="9"/>
        <v>319</v>
      </c>
      <c r="F95" s="1">
        <f t="shared" si="10"/>
        <v>81</v>
      </c>
      <c r="G95" s="1">
        <f t="shared" si="11"/>
        <v>2261.2600000000002</v>
      </c>
      <c r="L95">
        <v>407</v>
      </c>
      <c r="M95">
        <f t="shared" si="12"/>
        <v>4.9751243781094526E-3</v>
      </c>
      <c r="N95">
        <f t="shared" si="13"/>
        <v>0.537313432835823</v>
      </c>
    </row>
    <row r="96" spans="1:14" x14ac:dyDescent="0.25">
      <c r="A96" s="1">
        <v>95</v>
      </c>
      <c r="B96">
        <v>0.31993097533367099</v>
      </c>
      <c r="C96" s="1">
        <f t="shared" si="7"/>
        <v>137</v>
      </c>
      <c r="D96" s="1">
        <f t="shared" si="8"/>
        <v>364</v>
      </c>
      <c r="E96" s="1">
        <f t="shared" si="9"/>
        <v>364</v>
      </c>
      <c r="F96" s="1">
        <f t="shared" si="10"/>
        <v>36</v>
      </c>
      <c r="G96" s="1">
        <f t="shared" si="11"/>
        <v>2600.56</v>
      </c>
      <c r="L96">
        <v>406</v>
      </c>
      <c r="M96">
        <f t="shared" si="12"/>
        <v>4.9751243781094526E-3</v>
      </c>
      <c r="N96">
        <f t="shared" si="13"/>
        <v>0.53233830845771357</v>
      </c>
    </row>
    <row r="97" spans="1:14" x14ac:dyDescent="0.25">
      <c r="A97" s="1">
        <v>96</v>
      </c>
      <c r="B97">
        <v>0.85646075140284073</v>
      </c>
      <c r="C97" s="1">
        <f t="shared" si="7"/>
        <v>29</v>
      </c>
      <c r="D97" s="1">
        <f t="shared" si="8"/>
        <v>472</v>
      </c>
      <c r="E97" s="1">
        <f t="shared" si="9"/>
        <v>400</v>
      </c>
      <c r="F97" s="1">
        <f t="shared" si="10"/>
        <v>0</v>
      </c>
      <c r="G97" s="1">
        <f t="shared" si="11"/>
        <v>2872</v>
      </c>
      <c r="L97">
        <v>405</v>
      </c>
      <c r="M97">
        <f t="shared" si="12"/>
        <v>4.9751243781094526E-3</v>
      </c>
      <c r="N97">
        <f t="shared" si="13"/>
        <v>0.52736318407960414</v>
      </c>
    </row>
    <row r="98" spans="1:14" x14ac:dyDescent="0.25">
      <c r="A98" s="1">
        <v>97</v>
      </c>
      <c r="B98">
        <v>0.40475575236731931</v>
      </c>
      <c r="C98" s="1">
        <f t="shared" si="7"/>
        <v>120</v>
      </c>
      <c r="D98" s="1">
        <f t="shared" si="8"/>
        <v>381</v>
      </c>
      <c r="E98" s="1">
        <f t="shared" si="9"/>
        <v>381</v>
      </c>
      <c r="F98" s="1">
        <f t="shared" si="10"/>
        <v>19</v>
      </c>
      <c r="G98" s="1">
        <f t="shared" si="11"/>
        <v>2728.74</v>
      </c>
      <c r="L98">
        <v>404</v>
      </c>
      <c r="M98">
        <f t="shared" si="12"/>
        <v>4.9751243781094526E-3</v>
      </c>
      <c r="N98">
        <f t="shared" si="13"/>
        <v>0.52238805970149471</v>
      </c>
    </row>
    <row r="99" spans="1:14" x14ac:dyDescent="0.25">
      <c r="A99" s="1">
        <v>98</v>
      </c>
      <c r="B99">
        <v>0.36902646912203385</v>
      </c>
      <c r="C99" s="1">
        <f t="shared" si="7"/>
        <v>127</v>
      </c>
      <c r="D99" s="1">
        <f t="shared" si="8"/>
        <v>374</v>
      </c>
      <c r="E99" s="1">
        <f t="shared" si="9"/>
        <v>374</v>
      </c>
      <c r="F99" s="1">
        <f t="shared" si="10"/>
        <v>26</v>
      </c>
      <c r="G99" s="1">
        <f t="shared" si="11"/>
        <v>2675.96</v>
      </c>
      <c r="L99">
        <v>403</v>
      </c>
      <c r="M99">
        <f t="shared" si="12"/>
        <v>4.9751243781094526E-3</v>
      </c>
      <c r="N99">
        <f t="shared" si="13"/>
        <v>0.51741293532338528</v>
      </c>
    </row>
    <row r="100" spans="1:14" x14ac:dyDescent="0.25">
      <c r="A100" s="1">
        <v>99</v>
      </c>
      <c r="B100">
        <v>0.37384277083004114</v>
      </c>
      <c r="C100" s="1">
        <f t="shared" si="7"/>
        <v>126</v>
      </c>
      <c r="D100" s="1">
        <f t="shared" si="8"/>
        <v>375</v>
      </c>
      <c r="E100" s="1">
        <f t="shared" si="9"/>
        <v>375</v>
      </c>
      <c r="F100" s="1">
        <f t="shared" si="10"/>
        <v>25</v>
      </c>
      <c r="G100" s="1">
        <f t="shared" si="11"/>
        <v>2683.5</v>
      </c>
      <c r="L100">
        <v>402</v>
      </c>
      <c r="M100">
        <f t="shared" si="12"/>
        <v>4.9751243781094526E-3</v>
      </c>
      <c r="N100">
        <f t="shared" si="13"/>
        <v>0.51243781094527585</v>
      </c>
    </row>
    <row r="101" spans="1:14" x14ac:dyDescent="0.25">
      <c r="A101" s="1">
        <v>100</v>
      </c>
      <c r="B101">
        <v>5.4158193392781495E-3</v>
      </c>
      <c r="C101" s="1">
        <f t="shared" si="7"/>
        <v>200</v>
      </c>
      <c r="D101" s="1">
        <f t="shared" si="8"/>
        <v>301</v>
      </c>
      <c r="E101" s="1">
        <f t="shared" si="9"/>
        <v>301</v>
      </c>
      <c r="F101" s="1">
        <f t="shared" si="10"/>
        <v>99</v>
      </c>
      <c r="G101" s="1">
        <f t="shared" si="11"/>
        <v>2125.54</v>
      </c>
      <c r="L101">
        <v>401</v>
      </c>
      <c r="M101">
        <f t="shared" si="12"/>
        <v>4.9751243781094526E-3</v>
      </c>
      <c r="N101">
        <f t="shared" si="13"/>
        <v>0.50746268656716642</v>
      </c>
    </row>
    <row r="102" spans="1:14" x14ac:dyDescent="0.25">
      <c r="A102" s="1">
        <v>101</v>
      </c>
      <c r="B102">
        <v>0.38250025536057786</v>
      </c>
      <c r="C102" s="1">
        <f t="shared" si="7"/>
        <v>125</v>
      </c>
      <c r="D102" s="1">
        <f t="shared" si="8"/>
        <v>376</v>
      </c>
      <c r="E102" s="1">
        <f t="shared" si="9"/>
        <v>376</v>
      </c>
      <c r="F102" s="1">
        <f t="shared" si="10"/>
        <v>24</v>
      </c>
      <c r="G102" s="1">
        <f t="shared" si="11"/>
        <v>2691.04</v>
      </c>
      <c r="L102">
        <v>400</v>
      </c>
      <c r="M102">
        <f t="shared" si="12"/>
        <v>4.9751243781094526E-3</v>
      </c>
      <c r="N102">
        <f t="shared" si="13"/>
        <v>0.50248756218905699</v>
      </c>
    </row>
    <row r="103" spans="1:14" x14ac:dyDescent="0.25">
      <c r="A103" s="1">
        <v>102</v>
      </c>
      <c r="B103">
        <v>0.44662717132295515</v>
      </c>
      <c r="C103" s="1">
        <f t="shared" si="7"/>
        <v>112</v>
      </c>
      <c r="D103" s="1">
        <f t="shared" si="8"/>
        <v>389</v>
      </c>
      <c r="E103" s="1">
        <f t="shared" si="9"/>
        <v>389</v>
      </c>
      <c r="F103" s="1">
        <f t="shared" si="10"/>
        <v>11</v>
      </c>
      <c r="G103" s="1">
        <f t="shared" si="11"/>
        <v>2789.06</v>
      </c>
      <c r="L103">
        <v>399</v>
      </c>
      <c r="M103">
        <f t="shared" si="12"/>
        <v>4.9751243781094526E-3</v>
      </c>
      <c r="N103">
        <f t="shared" si="13"/>
        <v>0.49751243781094756</v>
      </c>
    </row>
    <row r="104" spans="1:14" x14ac:dyDescent="0.25">
      <c r="A104" s="1">
        <v>103</v>
      </c>
      <c r="B104">
        <v>0.21558572952675903</v>
      </c>
      <c r="C104" s="1">
        <f t="shared" si="7"/>
        <v>158</v>
      </c>
      <c r="D104" s="1">
        <f t="shared" si="8"/>
        <v>343</v>
      </c>
      <c r="E104" s="1">
        <f t="shared" si="9"/>
        <v>343</v>
      </c>
      <c r="F104" s="1">
        <f t="shared" si="10"/>
        <v>57</v>
      </c>
      <c r="G104" s="1">
        <f t="shared" si="11"/>
        <v>2442.2199999999998</v>
      </c>
      <c r="L104">
        <v>398</v>
      </c>
      <c r="M104">
        <f t="shared" si="12"/>
        <v>4.9751243781094526E-3</v>
      </c>
      <c r="N104">
        <f t="shared" si="13"/>
        <v>0.49253731343283813</v>
      </c>
    </row>
    <row r="105" spans="1:14" x14ac:dyDescent="0.25">
      <c r="A105" s="1">
        <v>104</v>
      </c>
      <c r="B105">
        <v>0.17818856710860587</v>
      </c>
      <c r="C105" s="1">
        <f t="shared" si="7"/>
        <v>166</v>
      </c>
      <c r="D105" s="1">
        <f t="shared" si="8"/>
        <v>335</v>
      </c>
      <c r="E105" s="1">
        <f t="shared" si="9"/>
        <v>335</v>
      </c>
      <c r="F105" s="1">
        <f t="shared" si="10"/>
        <v>65</v>
      </c>
      <c r="G105" s="1">
        <f t="shared" si="11"/>
        <v>2381.9</v>
      </c>
      <c r="L105">
        <v>397</v>
      </c>
      <c r="M105">
        <f t="shared" si="12"/>
        <v>4.9751243781094526E-3</v>
      </c>
      <c r="N105">
        <f t="shared" si="13"/>
        <v>0.4875621890547287</v>
      </c>
    </row>
    <row r="106" spans="1:14" x14ac:dyDescent="0.25">
      <c r="A106" s="1">
        <v>105</v>
      </c>
      <c r="B106">
        <v>0.43562709963676649</v>
      </c>
      <c r="C106" s="1">
        <f t="shared" si="7"/>
        <v>114</v>
      </c>
      <c r="D106" s="1">
        <f t="shared" si="8"/>
        <v>387</v>
      </c>
      <c r="E106" s="1">
        <f t="shared" si="9"/>
        <v>387</v>
      </c>
      <c r="F106" s="1">
        <f t="shared" si="10"/>
        <v>13</v>
      </c>
      <c r="G106" s="1">
        <f t="shared" si="11"/>
        <v>2773.98</v>
      </c>
      <c r="L106">
        <v>396</v>
      </c>
      <c r="M106">
        <f t="shared" si="12"/>
        <v>4.9751243781094526E-3</v>
      </c>
      <c r="N106">
        <f t="shared" si="13"/>
        <v>0.48258706467661927</v>
      </c>
    </row>
    <row r="107" spans="1:14" x14ac:dyDescent="0.25">
      <c r="A107" s="1">
        <v>106</v>
      </c>
      <c r="B107">
        <v>0.32743709148094002</v>
      </c>
      <c r="C107" s="1">
        <f t="shared" si="7"/>
        <v>136</v>
      </c>
      <c r="D107" s="1">
        <f t="shared" si="8"/>
        <v>365</v>
      </c>
      <c r="E107" s="1">
        <f t="shared" si="9"/>
        <v>365</v>
      </c>
      <c r="F107" s="1">
        <f t="shared" si="10"/>
        <v>35</v>
      </c>
      <c r="G107" s="1">
        <f t="shared" si="11"/>
        <v>2608.1</v>
      </c>
      <c r="L107">
        <v>395</v>
      </c>
      <c r="M107">
        <f t="shared" si="12"/>
        <v>4.9751243781094526E-3</v>
      </c>
      <c r="N107">
        <f t="shared" si="13"/>
        <v>0.47761194029850984</v>
      </c>
    </row>
    <row r="108" spans="1:14" x14ac:dyDescent="0.25">
      <c r="A108" s="1">
        <v>107</v>
      </c>
      <c r="B108">
        <v>0.70414331126886209</v>
      </c>
      <c r="C108" s="1">
        <f t="shared" si="7"/>
        <v>60</v>
      </c>
      <c r="D108" s="1">
        <f t="shared" si="8"/>
        <v>441</v>
      </c>
      <c r="E108" s="1">
        <f t="shared" si="9"/>
        <v>400</v>
      </c>
      <c r="F108" s="1">
        <f t="shared" si="10"/>
        <v>0</v>
      </c>
      <c r="G108" s="1">
        <f t="shared" si="11"/>
        <v>2872</v>
      </c>
      <c r="L108">
        <v>394</v>
      </c>
      <c r="M108">
        <f t="shared" si="12"/>
        <v>4.9751243781094526E-3</v>
      </c>
      <c r="N108">
        <f t="shared" si="13"/>
        <v>0.47263681592040041</v>
      </c>
    </row>
    <row r="109" spans="1:14" x14ac:dyDescent="0.25">
      <c r="A109" s="1">
        <v>108</v>
      </c>
      <c r="B109">
        <v>0.89346273343721272</v>
      </c>
      <c r="C109" s="1">
        <f t="shared" si="7"/>
        <v>22</v>
      </c>
      <c r="D109" s="1">
        <f t="shared" si="8"/>
        <v>479</v>
      </c>
      <c r="E109" s="1">
        <f t="shared" si="9"/>
        <v>400</v>
      </c>
      <c r="F109" s="1">
        <f t="shared" si="10"/>
        <v>0</v>
      </c>
      <c r="G109" s="1">
        <f t="shared" si="11"/>
        <v>2872</v>
      </c>
      <c r="L109">
        <v>393</v>
      </c>
      <c r="M109">
        <f t="shared" si="12"/>
        <v>4.9751243781094526E-3</v>
      </c>
      <c r="N109">
        <f t="shared" si="13"/>
        <v>0.46766169154229098</v>
      </c>
    </row>
    <row r="110" spans="1:14" x14ac:dyDescent="0.25">
      <c r="A110" s="1">
        <v>109</v>
      </c>
      <c r="B110">
        <v>9.4876545143996682E-2</v>
      </c>
      <c r="C110" s="1">
        <f t="shared" si="7"/>
        <v>182</v>
      </c>
      <c r="D110" s="1">
        <f t="shared" si="8"/>
        <v>319</v>
      </c>
      <c r="E110" s="1">
        <f t="shared" si="9"/>
        <v>319</v>
      </c>
      <c r="F110" s="1">
        <f t="shared" si="10"/>
        <v>81</v>
      </c>
      <c r="G110" s="1">
        <f t="shared" si="11"/>
        <v>2261.2600000000002</v>
      </c>
      <c r="L110">
        <v>392</v>
      </c>
      <c r="M110">
        <f t="shared" si="12"/>
        <v>4.9751243781094526E-3</v>
      </c>
      <c r="N110">
        <f t="shared" si="13"/>
        <v>0.46268656716418155</v>
      </c>
    </row>
    <row r="111" spans="1:14" x14ac:dyDescent="0.25">
      <c r="A111" s="1">
        <v>110</v>
      </c>
      <c r="B111">
        <v>0.48140343231056215</v>
      </c>
      <c r="C111" s="1">
        <f t="shared" si="7"/>
        <v>105</v>
      </c>
      <c r="D111" s="1">
        <f t="shared" si="8"/>
        <v>396</v>
      </c>
      <c r="E111" s="1">
        <f t="shared" si="9"/>
        <v>396</v>
      </c>
      <c r="F111" s="1">
        <f t="shared" si="10"/>
        <v>4</v>
      </c>
      <c r="G111" s="1">
        <f t="shared" si="11"/>
        <v>2841.84</v>
      </c>
      <c r="L111">
        <v>391</v>
      </c>
      <c r="M111">
        <f t="shared" si="12"/>
        <v>4.9751243781094526E-3</v>
      </c>
      <c r="N111">
        <f t="shared" si="13"/>
        <v>0.45771144278607212</v>
      </c>
    </row>
    <row r="112" spans="1:14" x14ac:dyDescent="0.25">
      <c r="A112" s="1">
        <v>111</v>
      </c>
      <c r="B112">
        <v>0.7826537180719888</v>
      </c>
      <c r="C112" s="1">
        <f t="shared" si="7"/>
        <v>44</v>
      </c>
      <c r="D112" s="1">
        <f t="shared" si="8"/>
        <v>457</v>
      </c>
      <c r="E112" s="1">
        <f t="shared" si="9"/>
        <v>400</v>
      </c>
      <c r="F112" s="1">
        <f t="shared" si="10"/>
        <v>0</v>
      </c>
      <c r="G112" s="1">
        <f t="shared" si="11"/>
        <v>2872</v>
      </c>
      <c r="L112">
        <v>390</v>
      </c>
      <c r="M112">
        <f t="shared" si="12"/>
        <v>4.9751243781094526E-3</v>
      </c>
      <c r="N112">
        <f t="shared" si="13"/>
        <v>0.45273631840796269</v>
      </c>
    </row>
    <row r="113" spans="1:14" x14ac:dyDescent="0.25">
      <c r="A113" s="1">
        <v>112</v>
      </c>
      <c r="B113">
        <v>0.42345905762165026</v>
      </c>
      <c r="C113" s="1">
        <f t="shared" si="7"/>
        <v>116</v>
      </c>
      <c r="D113" s="1">
        <f t="shared" si="8"/>
        <v>385</v>
      </c>
      <c r="E113" s="1">
        <f t="shared" si="9"/>
        <v>385</v>
      </c>
      <c r="F113" s="1">
        <f t="shared" si="10"/>
        <v>15</v>
      </c>
      <c r="G113" s="1">
        <f t="shared" si="11"/>
        <v>2758.9</v>
      </c>
      <c r="L113">
        <v>389</v>
      </c>
      <c r="M113">
        <f t="shared" si="12"/>
        <v>4.9751243781094526E-3</v>
      </c>
      <c r="N113">
        <f t="shared" si="13"/>
        <v>0.44776119402985326</v>
      </c>
    </row>
    <row r="114" spans="1:14" x14ac:dyDescent="0.25">
      <c r="A114" s="1">
        <v>113</v>
      </c>
      <c r="B114">
        <v>0.23222515263761268</v>
      </c>
      <c r="C114" s="1">
        <f t="shared" si="7"/>
        <v>155</v>
      </c>
      <c r="D114" s="1">
        <f t="shared" si="8"/>
        <v>346</v>
      </c>
      <c r="E114" s="1">
        <f t="shared" si="9"/>
        <v>346</v>
      </c>
      <c r="F114" s="1">
        <f t="shared" si="10"/>
        <v>54</v>
      </c>
      <c r="G114" s="1">
        <f t="shared" si="11"/>
        <v>2464.84</v>
      </c>
      <c r="L114">
        <v>388</v>
      </c>
      <c r="M114">
        <f t="shared" si="12"/>
        <v>4.9751243781094526E-3</v>
      </c>
      <c r="N114">
        <f t="shared" si="13"/>
        <v>0.44278606965174383</v>
      </c>
    </row>
    <row r="115" spans="1:14" x14ac:dyDescent="0.25">
      <c r="A115" s="1">
        <v>114</v>
      </c>
      <c r="B115">
        <v>7.2167283400705218E-2</v>
      </c>
      <c r="C115" s="1">
        <f t="shared" si="7"/>
        <v>187</v>
      </c>
      <c r="D115" s="1">
        <f t="shared" si="8"/>
        <v>314</v>
      </c>
      <c r="E115" s="1">
        <f t="shared" si="9"/>
        <v>314</v>
      </c>
      <c r="F115" s="1">
        <f t="shared" si="10"/>
        <v>86</v>
      </c>
      <c r="G115" s="1">
        <f t="shared" si="11"/>
        <v>2223.56</v>
      </c>
      <c r="L115">
        <v>387</v>
      </c>
      <c r="M115">
        <f t="shared" si="12"/>
        <v>4.9751243781094526E-3</v>
      </c>
      <c r="N115">
        <f t="shared" si="13"/>
        <v>0.4378109452736344</v>
      </c>
    </row>
    <row r="116" spans="1:14" x14ac:dyDescent="0.25">
      <c r="A116" s="1">
        <v>115</v>
      </c>
      <c r="B116">
        <v>0.2113237910142568</v>
      </c>
      <c r="C116" s="1">
        <f t="shared" si="7"/>
        <v>159</v>
      </c>
      <c r="D116" s="1">
        <f t="shared" si="8"/>
        <v>342</v>
      </c>
      <c r="E116" s="1">
        <f t="shared" si="9"/>
        <v>342</v>
      </c>
      <c r="F116" s="1">
        <f t="shared" si="10"/>
        <v>58</v>
      </c>
      <c r="G116" s="1">
        <f t="shared" si="11"/>
        <v>2434.6799999999998</v>
      </c>
      <c r="L116">
        <v>386</v>
      </c>
      <c r="M116">
        <f t="shared" si="12"/>
        <v>4.9751243781094526E-3</v>
      </c>
      <c r="N116">
        <f t="shared" si="13"/>
        <v>0.43283582089552497</v>
      </c>
    </row>
    <row r="117" spans="1:14" x14ac:dyDescent="0.25">
      <c r="A117" s="1">
        <v>116</v>
      </c>
      <c r="B117">
        <v>0.42931345486806982</v>
      </c>
      <c r="C117" s="1">
        <f t="shared" si="7"/>
        <v>115</v>
      </c>
      <c r="D117" s="1">
        <f t="shared" si="8"/>
        <v>386</v>
      </c>
      <c r="E117" s="1">
        <f t="shared" si="9"/>
        <v>386</v>
      </c>
      <c r="F117" s="1">
        <f t="shared" si="10"/>
        <v>14</v>
      </c>
      <c r="G117" s="1">
        <f t="shared" si="11"/>
        <v>2766.44</v>
      </c>
      <c r="L117">
        <v>385</v>
      </c>
      <c r="M117">
        <f t="shared" si="12"/>
        <v>4.9751243781094526E-3</v>
      </c>
      <c r="N117">
        <f t="shared" si="13"/>
        <v>0.42786069651741554</v>
      </c>
    </row>
    <row r="118" spans="1:14" x14ac:dyDescent="0.25">
      <c r="A118" s="1">
        <v>117</v>
      </c>
      <c r="B118">
        <v>8.8706895166848709E-2</v>
      </c>
      <c r="C118" s="1">
        <f t="shared" si="7"/>
        <v>184</v>
      </c>
      <c r="D118" s="1">
        <f t="shared" si="8"/>
        <v>317</v>
      </c>
      <c r="E118" s="1">
        <f t="shared" si="9"/>
        <v>317</v>
      </c>
      <c r="F118" s="1">
        <f t="shared" si="10"/>
        <v>83</v>
      </c>
      <c r="G118" s="1">
        <f t="shared" si="11"/>
        <v>2246.1799999999998</v>
      </c>
      <c r="L118">
        <v>384</v>
      </c>
      <c r="M118">
        <f t="shared" si="12"/>
        <v>4.9751243781094526E-3</v>
      </c>
      <c r="N118">
        <f t="shared" si="13"/>
        <v>0.42288557213930611</v>
      </c>
    </row>
    <row r="119" spans="1:14" x14ac:dyDescent="0.25">
      <c r="A119" s="1">
        <v>118</v>
      </c>
      <c r="B119">
        <v>0.87810349375741426</v>
      </c>
      <c r="C119" s="1">
        <f t="shared" si="7"/>
        <v>25</v>
      </c>
      <c r="D119" s="1">
        <f t="shared" si="8"/>
        <v>476</v>
      </c>
      <c r="E119" s="1">
        <f t="shared" si="9"/>
        <v>400</v>
      </c>
      <c r="F119" s="1">
        <f t="shared" si="10"/>
        <v>0</v>
      </c>
      <c r="G119" s="1">
        <f t="shared" si="11"/>
        <v>2872</v>
      </c>
      <c r="L119">
        <v>383</v>
      </c>
      <c r="M119">
        <f t="shared" si="12"/>
        <v>4.9751243781094526E-3</v>
      </c>
      <c r="N119">
        <f t="shared" si="13"/>
        <v>0.41791044776119668</v>
      </c>
    </row>
    <row r="120" spans="1:14" x14ac:dyDescent="0.25">
      <c r="A120" s="1">
        <v>119</v>
      </c>
      <c r="B120">
        <v>0.77871834248633753</v>
      </c>
      <c r="C120" s="1">
        <f t="shared" si="7"/>
        <v>45</v>
      </c>
      <c r="D120" s="1">
        <f t="shared" si="8"/>
        <v>456</v>
      </c>
      <c r="E120" s="1">
        <f t="shared" si="9"/>
        <v>400</v>
      </c>
      <c r="F120" s="1">
        <f t="shared" si="10"/>
        <v>0</v>
      </c>
      <c r="G120" s="1">
        <f t="shared" si="11"/>
        <v>2872</v>
      </c>
      <c r="L120">
        <v>382</v>
      </c>
      <c r="M120">
        <f t="shared" si="12"/>
        <v>4.9751243781094526E-3</v>
      </c>
      <c r="N120">
        <f t="shared" si="13"/>
        <v>0.41293532338308725</v>
      </c>
    </row>
    <row r="121" spans="1:14" x14ac:dyDescent="0.25">
      <c r="A121" s="1">
        <v>120</v>
      </c>
      <c r="B121">
        <v>0.19800072280799963</v>
      </c>
      <c r="C121" s="1">
        <f t="shared" si="7"/>
        <v>162</v>
      </c>
      <c r="D121" s="1">
        <f t="shared" si="8"/>
        <v>339</v>
      </c>
      <c r="E121" s="1">
        <f t="shared" si="9"/>
        <v>339</v>
      </c>
      <c r="F121" s="1">
        <f t="shared" si="10"/>
        <v>61</v>
      </c>
      <c r="G121" s="1">
        <f t="shared" si="11"/>
        <v>2412.06</v>
      </c>
      <c r="L121">
        <v>381</v>
      </c>
      <c r="M121">
        <f t="shared" si="12"/>
        <v>4.9751243781094526E-3</v>
      </c>
      <c r="N121">
        <f t="shared" si="13"/>
        <v>0.40796019900497782</v>
      </c>
    </row>
    <row r="122" spans="1:14" x14ac:dyDescent="0.25">
      <c r="A122" s="1">
        <v>121</v>
      </c>
      <c r="B122">
        <v>0.1964590704953284</v>
      </c>
      <c r="C122" s="1">
        <f t="shared" si="7"/>
        <v>162</v>
      </c>
      <c r="D122" s="1">
        <f t="shared" si="8"/>
        <v>339</v>
      </c>
      <c r="E122" s="1">
        <f t="shared" si="9"/>
        <v>339</v>
      </c>
      <c r="F122" s="1">
        <f t="shared" si="10"/>
        <v>61</v>
      </c>
      <c r="G122" s="1">
        <f t="shared" si="11"/>
        <v>2412.06</v>
      </c>
      <c r="L122">
        <v>380</v>
      </c>
      <c r="M122">
        <f t="shared" si="12"/>
        <v>4.9751243781094526E-3</v>
      </c>
      <c r="N122">
        <f t="shared" si="13"/>
        <v>0.40298507462686839</v>
      </c>
    </row>
    <row r="123" spans="1:14" x14ac:dyDescent="0.25">
      <c r="A123" s="1">
        <v>122</v>
      </c>
      <c r="B123">
        <v>0.1331491064432444</v>
      </c>
      <c r="C123" s="1">
        <f t="shared" si="7"/>
        <v>175</v>
      </c>
      <c r="D123" s="1">
        <f t="shared" si="8"/>
        <v>326</v>
      </c>
      <c r="E123" s="1">
        <f t="shared" si="9"/>
        <v>326</v>
      </c>
      <c r="F123" s="1">
        <f t="shared" si="10"/>
        <v>74</v>
      </c>
      <c r="G123" s="1">
        <f t="shared" si="11"/>
        <v>2314.04</v>
      </c>
      <c r="L123">
        <v>379</v>
      </c>
      <c r="M123">
        <f t="shared" si="12"/>
        <v>4.9751243781094526E-3</v>
      </c>
      <c r="N123">
        <f t="shared" si="13"/>
        <v>0.39800995024875896</v>
      </c>
    </row>
    <row r="124" spans="1:14" x14ac:dyDescent="0.25">
      <c r="A124" s="1">
        <v>123</v>
      </c>
      <c r="B124">
        <v>0.98872868213202547</v>
      </c>
      <c r="C124" s="1">
        <f t="shared" si="7"/>
        <v>3</v>
      </c>
      <c r="D124" s="1">
        <f t="shared" si="8"/>
        <v>498</v>
      </c>
      <c r="E124" s="1">
        <f t="shared" si="9"/>
        <v>400</v>
      </c>
      <c r="F124" s="1">
        <f t="shared" si="10"/>
        <v>0</v>
      </c>
      <c r="G124" s="1">
        <f t="shared" si="11"/>
        <v>2872</v>
      </c>
      <c r="L124">
        <v>378</v>
      </c>
      <c r="M124">
        <f t="shared" si="12"/>
        <v>4.9751243781094526E-3</v>
      </c>
      <c r="N124">
        <f t="shared" si="13"/>
        <v>0.39303482587064953</v>
      </c>
    </row>
    <row r="125" spans="1:14" x14ac:dyDescent="0.25">
      <c r="A125" s="1">
        <v>124</v>
      </c>
      <c r="B125">
        <v>0.19574336429910544</v>
      </c>
      <c r="C125" s="1">
        <f t="shared" si="7"/>
        <v>162</v>
      </c>
      <c r="D125" s="1">
        <f t="shared" si="8"/>
        <v>339</v>
      </c>
      <c r="E125" s="1">
        <f t="shared" si="9"/>
        <v>339</v>
      </c>
      <c r="F125" s="1">
        <f t="shared" si="10"/>
        <v>61</v>
      </c>
      <c r="G125" s="1">
        <f t="shared" si="11"/>
        <v>2412.06</v>
      </c>
      <c r="L125">
        <v>377</v>
      </c>
      <c r="M125">
        <f t="shared" si="12"/>
        <v>4.9751243781094526E-3</v>
      </c>
      <c r="N125">
        <f t="shared" si="13"/>
        <v>0.3880597014925401</v>
      </c>
    </row>
    <row r="126" spans="1:14" x14ac:dyDescent="0.25">
      <c r="A126" s="1">
        <v>125</v>
      </c>
      <c r="B126">
        <v>0.62440005859476999</v>
      </c>
      <c r="C126" s="1">
        <f t="shared" si="7"/>
        <v>76</v>
      </c>
      <c r="D126" s="1">
        <f t="shared" si="8"/>
        <v>425</v>
      </c>
      <c r="E126" s="1">
        <f t="shared" si="9"/>
        <v>400</v>
      </c>
      <c r="F126" s="1">
        <f t="shared" si="10"/>
        <v>0</v>
      </c>
      <c r="G126" s="1">
        <f t="shared" si="11"/>
        <v>2872</v>
      </c>
      <c r="L126">
        <v>376</v>
      </c>
      <c r="M126">
        <f t="shared" si="12"/>
        <v>4.9751243781094526E-3</v>
      </c>
      <c r="N126">
        <f t="shared" si="13"/>
        <v>0.38308457711443067</v>
      </c>
    </row>
    <row r="127" spans="1:14" x14ac:dyDescent="0.25">
      <c r="A127" s="1">
        <v>126</v>
      </c>
      <c r="B127">
        <v>0.93300757343641116</v>
      </c>
      <c r="C127" s="1">
        <f t="shared" si="7"/>
        <v>14</v>
      </c>
      <c r="D127" s="1">
        <f t="shared" si="8"/>
        <v>487</v>
      </c>
      <c r="E127" s="1">
        <f t="shared" si="9"/>
        <v>400</v>
      </c>
      <c r="F127" s="1">
        <f t="shared" si="10"/>
        <v>0</v>
      </c>
      <c r="G127" s="1">
        <f t="shared" si="11"/>
        <v>2872</v>
      </c>
      <c r="L127">
        <v>375</v>
      </c>
      <c r="M127">
        <f t="shared" si="12"/>
        <v>4.9751243781094526E-3</v>
      </c>
      <c r="N127">
        <f t="shared" si="13"/>
        <v>0.37810945273632124</v>
      </c>
    </row>
    <row r="128" spans="1:14" x14ac:dyDescent="0.25">
      <c r="A128" s="1">
        <v>127</v>
      </c>
      <c r="B128">
        <v>0.33704717457120292</v>
      </c>
      <c r="C128" s="1">
        <f t="shared" si="7"/>
        <v>134</v>
      </c>
      <c r="D128" s="1">
        <f t="shared" si="8"/>
        <v>367</v>
      </c>
      <c r="E128" s="1">
        <f t="shared" si="9"/>
        <v>367</v>
      </c>
      <c r="F128" s="1">
        <f t="shared" si="10"/>
        <v>33</v>
      </c>
      <c r="G128" s="1">
        <f t="shared" si="11"/>
        <v>2623.18</v>
      </c>
      <c r="L128">
        <v>374</v>
      </c>
      <c r="M128">
        <f t="shared" si="12"/>
        <v>4.9751243781094526E-3</v>
      </c>
      <c r="N128">
        <f t="shared" si="13"/>
        <v>0.37313432835821181</v>
      </c>
    </row>
    <row r="129" spans="1:14" x14ac:dyDescent="0.25">
      <c r="A129" s="1">
        <v>128</v>
      </c>
      <c r="B129">
        <v>0.89314474493874985</v>
      </c>
      <c r="C129" s="1">
        <f t="shared" si="7"/>
        <v>22</v>
      </c>
      <c r="D129" s="1">
        <f t="shared" si="8"/>
        <v>479</v>
      </c>
      <c r="E129" s="1">
        <f t="shared" si="9"/>
        <v>400</v>
      </c>
      <c r="F129" s="1">
        <f t="shared" si="10"/>
        <v>0</v>
      </c>
      <c r="G129" s="1">
        <f t="shared" si="11"/>
        <v>2872</v>
      </c>
      <c r="L129">
        <v>373</v>
      </c>
      <c r="M129">
        <f t="shared" si="12"/>
        <v>4.9751243781094526E-3</v>
      </c>
      <c r="N129">
        <f t="shared" si="13"/>
        <v>0.36815920398010238</v>
      </c>
    </row>
    <row r="130" spans="1:14" x14ac:dyDescent="0.25">
      <c r="A130" s="1">
        <v>129</v>
      </c>
      <c r="B130">
        <v>0.68571321738648394</v>
      </c>
      <c r="C130" s="1">
        <f t="shared" ref="C130:C193" si="14">MATCH(B130,$N$2:$N$202,-1)</f>
        <v>64</v>
      </c>
      <c r="D130" s="1">
        <f t="shared" ref="D130:D193" si="15">INDEX($L$2:$L$202,C130)</f>
        <v>437</v>
      </c>
      <c r="E130" s="1">
        <f t="shared" si="9"/>
        <v>400</v>
      </c>
      <c r="F130" s="1">
        <f t="shared" si="10"/>
        <v>0</v>
      </c>
      <c r="G130" s="1">
        <f t="shared" si="11"/>
        <v>2872</v>
      </c>
      <c r="L130">
        <v>372</v>
      </c>
      <c r="M130">
        <f t="shared" si="12"/>
        <v>4.9751243781094526E-3</v>
      </c>
      <c r="N130">
        <f t="shared" si="13"/>
        <v>0.36318407960199295</v>
      </c>
    </row>
    <row r="131" spans="1:14" x14ac:dyDescent="0.25">
      <c r="A131" s="1">
        <v>130</v>
      </c>
      <c r="B131">
        <v>1.5667116437656503E-4</v>
      </c>
      <c r="C131" s="1">
        <f t="shared" si="14"/>
        <v>201</v>
      </c>
      <c r="D131" s="1">
        <f t="shared" si="15"/>
        <v>300</v>
      </c>
      <c r="E131" s="1">
        <f t="shared" ref="E131:E194" si="16">MIN(D131,$I$2)</f>
        <v>300</v>
      </c>
      <c r="F131" s="1">
        <f t="shared" ref="F131:F194" si="17">$I$2-E131</f>
        <v>100</v>
      </c>
      <c r="G131" s="1">
        <f t="shared" ref="G131:G194" si="18">7.5*E131-$I$2/25*8-F131/25*1</f>
        <v>2118</v>
      </c>
      <c r="L131">
        <v>371</v>
      </c>
      <c r="M131">
        <f t="shared" ref="M131:M194" si="19">1/COUNT($L$2:$L$202)</f>
        <v>4.9751243781094526E-3</v>
      </c>
      <c r="N131">
        <f t="shared" si="13"/>
        <v>0.35820895522388352</v>
      </c>
    </row>
    <row r="132" spans="1:14" x14ac:dyDescent="0.25">
      <c r="A132" s="1">
        <v>131</v>
      </c>
      <c r="B132">
        <v>0.95812507841877725</v>
      </c>
      <c r="C132" s="1">
        <f t="shared" si="14"/>
        <v>9</v>
      </c>
      <c r="D132" s="1">
        <f t="shared" si="15"/>
        <v>492</v>
      </c>
      <c r="E132" s="1">
        <f t="shared" si="16"/>
        <v>400</v>
      </c>
      <c r="F132" s="1">
        <f t="shared" si="17"/>
        <v>0</v>
      </c>
      <c r="G132" s="1">
        <f t="shared" si="18"/>
        <v>2872</v>
      </c>
      <c r="L132">
        <v>370</v>
      </c>
      <c r="M132">
        <f t="shared" si="19"/>
        <v>4.9751243781094526E-3</v>
      </c>
      <c r="N132">
        <f t="shared" ref="N132:N195" si="20">N131-M132</f>
        <v>0.35323383084577409</v>
      </c>
    </row>
    <row r="133" spans="1:14" x14ac:dyDescent="0.25">
      <c r="A133" s="1">
        <v>132</v>
      </c>
      <c r="B133">
        <v>0.94326884942285338</v>
      </c>
      <c r="C133" s="1">
        <f t="shared" si="14"/>
        <v>12</v>
      </c>
      <c r="D133" s="1">
        <f t="shared" si="15"/>
        <v>489</v>
      </c>
      <c r="E133" s="1">
        <f t="shared" si="16"/>
        <v>400</v>
      </c>
      <c r="F133" s="1">
        <f t="shared" si="17"/>
        <v>0</v>
      </c>
      <c r="G133" s="1">
        <f t="shared" si="18"/>
        <v>2872</v>
      </c>
      <c r="L133">
        <v>369</v>
      </c>
      <c r="M133">
        <f t="shared" si="19"/>
        <v>4.9751243781094526E-3</v>
      </c>
      <c r="N133">
        <f t="shared" si="20"/>
        <v>0.34825870646766466</v>
      </c>
    </row>
    <row r="134" spans="1:14" x14ac:dyDescent="0.25">
      <c r="A134" s="1">
        <v>133</v>
      </c>
      <c r="B134">
        <v>0.98742444718495914</v>
      </c>
      <c r="C134" s="1">
        <f t="shared" si="14"/>
        <v>3</v>
      </c>
      <c r="D134" s="1">
        <f t="shared" si="15"/>
        <v>498</v>
      </c>
      <c r="E134" s="1">
        <f t="shared" si="16"/>
        <v>400</v>
      </c>
      <c r="F134" s="1">
        <f t="shared" si="17"/>
        <v>0</v>
      </c>
      <c r="G134" s="1">
        <f t="shared" si="18"/>
        <v>2872</v>
      </c>
      <c r="L134">
        <v>368</v>
      </c>
      <c r="M134">
        <f t="shared" si="19"/>
        <v>4.9751243781094526E-3</v>
      </c>
      <c r="N134">
        <f t="shared" si="20"/>
        <v>0.34328358208955523</v>
      </c>
    </row>
    <row r="135" spans="1:14" x14ac:dyDescent="0.25">
      <c r="A135" s="1">
        <v>134</v>
      </c>
      <c r="B135">
        <v>0.66029992532216186</v>
      </c>
      <c r="C135" s="1">
        <f t="shared" si="14"/>
        <v>69</v>
      </c>
      <c r="D135" s="1">
        <f t="shared" si="15"/>
        <v>432</v>
      </c>
      <c r="E135" s="1">
        <f t="shared" si="16"/>
        <v>400</v>
      </c>
      <c r="F135" s="1">
        <f t="shared" si="17"/>
        <v>0</v>
      </c>
      <c r="G135" s="1">
        <f t="shared" si="18"/>
        <v>2872</v>
      </c>
      <c r="L135">
        <v>367</v>
      </c>
      <c r="M135">
        <f t="shared" si="19"/>
        <v>4.9751243781094526E-3</v>
      </c>
      <c r="N135">
        <f t="shared" si="20"/>
        <v>0.3383084577114458</v>
      </c>
    </row>
    <row r="136" spans="1:14" x14ac:dyDescent="0.25">
      <c r="A136" s="1">
        <v>135</v>
      </c>
      <c r="B136">
        <v>0.36090319665426973</v>
      </c>
      <c r="C136" s="1">
        <f t="shared" si="14"/>
        <v>129</v>
      </c>
      <c r="D136" s="1">
        <f t="shared" si="15"/>
        <v>372</v>
      </c>
      <c r="E136" s="1">
        <f t="shared" si="16"/>
        <v>372</v>
      </c>
      <c r="F136" s="1">
        <f t="shared" si="17"/>
        <v>28</v>
      </c>
      <c r="G136" s="1">
        <f t="shared" si="18"/>
        <v>2660.88</v>
      </c>
      <c r="L136">
        <v>366</v>
      </c>
      <c r="M136">
        <f t="shared" si="19"/>
        <v>4.9751243781094526E-3</v>
      </c>
      <c r="N136">
        <f t="shared" si="20"/>
        <v>0.33333333333333637</v>
      </c>
    </row>
    <row r="137" spans="1:14" x14ac:dyDescent="0.25">
      <c r="A137" s="1">
        <v>136</v>
      </c>
      <c r="B137">
        <v>0.29566456525276774</v>
      </c>
      <c r="C137" s="1">
        <f t="shared" si="14"/>
        <v>142</v>
      </c>
      <c r="D137" s="1">
        <f t="shared" si="15"/>
        <v>359</v>
      </c>
      <c r="E137" s="1">
        <f t="shared" si="16"/>
        <v>359</v>
      </c>
      <c r="F137" s="1">
        <f t="shared" si="17"/>
        <v>41</v>
      </c>
      <c r="G137" s="1">
        <f t="shared" si="18"/>
        <v>2562.86</v>
      </c>
      <c r="L137">
        <v>365</v>
      </c>
      <c r="M137">
        <f t="shared" si="19"/>
        <v>4.9751243781094526E-3</v>
      </c>
      <c r="N137">
        <f t="shared" si="20"/>
        <v>0.32835820895522694</v>
      </c>
    </row>
    <row r="138" spans="1:14" x14ac:dyDescent="0.25">
      <c r="A138" s="1">
        <v>137</v>
      </c>
      <c r="B138">
        <v>0.96522696060853141</v>
      </c>
      <c r="C138" s="1">
        <f t="shared" si="14"/>
        <v>7</v>
      </c>
      <c r="D138" s="1">
        <f t="shared" si="15"/>
        <v>494</v>
      </c>
      <c r="E138" s="1">
        <f t="shared" si="16"/>
        <v>400</v>
      </c>
      <c r="F138" s="1">
        <f t="shared" si="17"/>
        <v>0</v>
      </c>
      <c r="G138" s="1">
        <f t="shared" si="18"/>
        <v>2872</v>
      </c>
      <c r="L138">
        <v>364</v>
      </c>
      <c r="M138">
        <f t="shared" si="19"/>
        <v>4.9751243781094526E-3</v>
      </c>
      <c r="N138">
        <f t="shared" si="20"/>
        <v>0.32338308457711751</v>
      </c>
    </row>
    <row r="139" spans="1:14" x14ac:dyDescent="0.25">
      <c r="A139" s="1">
        <v>138</v>
      </c>
      <c r="B139">
        <v>4.372352658984846E-2</v>
      </c>
      <c r="C139" s="1">
        <f t="shared" si="14"/>
        <v>193</v>
      </c>
      <c r="D139" s="1">
        <f t="shared" si="15"/>
        <v>308</v>
      </c>
      <c r="E139" s="1">
        <f t="shared" si="16"/>
        <v>308</v>
      </c>
      <c r="F139" s="1">
        <f t="shared" si="17"/>
        <v>92</v>
      </c>
      <c r="G139" s="1">
        <f t="shared" si="18"/>
        <v>2178.3200000000002</v>
      </c>
      <c r="L139">
        <v>363</v>
      </c>
      <c r="M139">
        <f t="shared" si="19"/>
        <v>4.9751243781094526E-3</v>
      </c>
      <c r="N139">
        <f t="shared" si="20"/>
        <v>0.31840796019900808</v>
      </c>
    </row>
    <row r="140" spans="1:14" x14ac:dyDescent="0.25">
      <c r="A140" s="1">
        <v>139</v>
      </c>
      <c r="B140">
        <v>0.81971041035702652</v>
      </c>
      <c r="C140" s="1">
        <f t="shared" si="14"/>
        <v>37</v>
      </c>
      <c r="D140" s="1">
        <f t="shared" si="15"/>
        <v>464</v>
      </c>
      <c r="E140" s="1">
        <f t="shared" si="16"/>
        <v>400</v>
      </c>
      <c r="F140" s="1">
        <f t="shared" si="17"/>
        <v>0</v>
      </c>
      <c r="G140" s="1">
        <f t="shared" si="18"/>
        <v>2872</v>
      </c>
      <c r="L140">
        <v>362</v>
      </c>
      <c r="M140">
        <f t="shared" si="19"/>
        <v>4.9751243781094526E-3</v>
      </c>
      <c r="N140">
        <f t="shared" si="20"/>
        <v>0.31343283582089865</v>
      </c>
    </row>
    <row r="141" spans="1:14" x14ac:dyDescent="0.25">
      <c r="A141" s="1">
        <v>140</v>
      </c>
      <c r="B141">
        <v>0.81435709354128871</v>
      </c>
      <c r="C141" s="1">
        <f t="shared" si="14"/>
        <v>38</v>
      </c>
      <c r="D141" s="1">
        <f t="shared" si="15"/>
        <v>463</v>
      </c>
      <c r="E141" s="1">
        <f t="shared" si="16"/>
        <v>400</v>
      </c>
      <c r="F141" s="1">
        <f t="shared" si="17"/>
        <v>0</v>
      </c>
      <c r="G141" s="1">
        <f t="shared" si="18"/>
        <v>2872</v>
      </c>
      <c r="L141">
        <v>361</v>
      </c>
      <c r="M141">
        <f t="shared" si="19"/>
        <v>4.9751243781094526E-3</v>
      </c>
      <c r="N141">
        <f t="shared" si="20"/>
        <v>0.30845771144278922</v>
      </c>
    </row>
    <row r="142" spans="1:14" x14ac:dyDescent="0.25">
      <c r="A142" s="1">
        <v>141</v>
      </c>
      <c r="B142">
        <v>0.77479755898165159</v>
      </c>
      <c r="C142" s="1">
        <f t="shared" si="14"/>
        <v>46</v>
      </c>
      <c r="D142" s="1">
        <f t="shared" si="15"/>
        <v>455</v>
      </c>
      <c r="E142" s="1">
        <f t="shared" si="16"/>
        <v>400</v>
      </c>
      <c r="F142" s="1">
        <f t="shared" si="17"/>
        <v>0</v>
      </c>
      <c r="G142" s="1">
        <f t="shared" si="18"/>
        <v>2872</v>
      </c>
      <c r="L142">
        <v>360</v>
      </c>
      <c r="M142">
        <f t="shared" si="19"/>
        <v>4.9751243781094526E-3</v>
      </c>
      <c r="N142">
        <f t="shared" si="20"/>
        <v>0.30348258706467979</v>
      </c>
    </row>
    <row r="143" spans="1:14" x14ac:dyDescent="0.25">
      <c r="A143" s="1">
        <v>142</v>
      </c>
      <c r="B143">
        <v>0.34767262980646574</v>
      </c>
      <c r="C143" s="1">
        <f t="shared" si="14"/>
        <v>132</v>
      </c>
      <c r="D143" s="1">
        <f t="shared" si="15"/>
        <v>369</v>
      </c>
      <c r="E143" s="1">
        <f t="shared" si="16"/>
        <v>369</v>
      </c>
      <c r="F143" s="1">
        <f t="shared" si="17"/>
        <v>31</v>
      </c>
      <c r="G143" s="1">
        <f t="shared" si="18"/>
        <v>2638.26</v>
      </c>
      <c r="L143">
        <v>359</v>
      </c>
      <c r="M143">
        <f t="shared" si="19"/>
        <v>4.9751243781094526E-3</v>
      </c>
      <c r="N143">
        <f t="shared" si="20"/>
        <v>0.29850746268657036</v>
      </c>
    </row>
    <row r="144" spans="1:14" x14ac:dyDescent="0.25">
      <c r="A144" s="1">
        <v>143</v>
      </c>
      <c r="B144">
        <v>0.61127940766731703</v>
      </c>
      <c r="C144" s="1">
        <f t="shared" si="14"/>
        <v>79</v>
      </c>
      <c r="D144" s="1">
        <f t="shared" si="15"/>
        <v>422</v>
      </c>
      <c r="E144" s="1">
        <f t="shared" si="16"/>
        <v>400</v>
      </c>
      <c r="F144" s="1">
        <f t="shared" si="17"/>
        <v>0</v>
      </c>
      <c r="G144" s="1">
        <f t="shared" si="18"/>
        <v>2872</v>
      </c>
      <c r="L144">
        <v>358</v>
      </c>
      <c r="M144">
        <f t="shared" si="19"/>
        <v>4.9751243781094526E-3</v>
      </c>
      <c r="N144">
        <f t="shared" si="20"/>
        <v>0.29353233830846093</v>
      </c>
    </row>
    <row r="145" spans="1:14" x14ac:dyDescent="0.25">
      <c r="A145" s="1">
        <v>144</v>
      </c>
      <c r="B145">
        <v>0.60622201610347426</v>
      </c>
      <c r="C145" s="1">
        <f t="shared" si="14"/>
        <v>80</v>
      </c>
      <c r="D145" s="1">
        <f t="shared" si="15"/>
        <v>421</v>
      </c>
      <c r="E145" s="1">
        <f t="shared" si="16"/>
        <v>400</v>
      </c>
      <c r="F145" s="1">
        <f t="shared" si="17"/>
        <v>0</v>
      </c>
      <c r="G145" s="1">
        <f t="shared" si="18"/>
        <v>2872</v>
      </c>
      <c r="L145">
        <v>357</v>
      </c>
      <c r="M145">
        <f t="shared" si="19"/>
        <v>4.9751243781094526E-3</v>
      </c>
      <c r="N145">
        <f t="shared" si="20"/>
        <v>0.2885572139303515</v>
      </c>
    </row>
    <row r="146" spans="1:14" x14ac:dyDescent="0.25">
      <c r="A146" s="1">
        <v>145</v>
      </c>
      <c r="B146">
        <v>0.47985916654568028</v>
      </c>
      <c r="C146" s="1">
        <f t="shared" si="14"/>
        <v>105</v>
      </c>
      <c r="D146" s="1">
        <f t="shared" si="15"/>
        <v>396</v>
      </c>
      <c r="E146" s="1">
        <f t="shared" si="16"/>
        <v>396</v>
      </c>
      <c r="F146" s="1">
        <f t="shared" si="17"/>
        <v>4</v>
      </c>
      <c r="G146" s="1">
        <f t="shared" si="18"/>
        <v>2841.84</v>
      </c>
      <c r="L146">
        <v>356</v>
      </c>
      <c r="M146">
        <f t="shared" si="19"/>
        <v>4.9751243781094526E-3</v>
      </c>
      <c r="N146">
        <f t="shared" si="20"/>
        <v>0.28358208955224207</v>
      </c>
    </row>
    <row r="147" spans="1:14" x14ac:dyDescent="0.25">
      <c r="A147" s="1">
        <v>146</v>
      </c>
      <c r="B147">
        <v>0.76481240686815199</v>
      </c>
      <c r="C147" s="1">
        <f t="shared" si="14"/>
        <v>48</v>
      </c>
      <c r="D147" s="1">
        <f t="shared" si="15"/>
        <v>453</v>
      </c>
      <c r="E147" s="1">
        <f t="shared" si="16"/>
        <v>400</v>
      </c>
      <c r="F147" s="1">
        <f t="shared" si="17"/>
        <v>0</v>
      </c>
      <c r="G147" s="1">
        <f t="shared" si="18"/>
        <v>2872</v>
      </c>
      <c r="L147">
        <v>355</v>
      </c>
      <c r="M147">
        <f t="shared" si="19"/>
        <v>4.9751243781094526E-3</v>
      </c>
      <c r="N147">
        <f t="shared" si="20"/>
        <v>0.27860696517413264</v>
      </c>
    </row>
    <row r="148" spans="1:14" x14ac:dyDescent="0.25">
      <c r="A148" s="1">
        <v>147</v>
      </c>
      <c r="B148">
        <v>0.8119269529356794</v>
      </c>
      <c r="C148" s="1">
        <f t="shared" si="14"/>
        <v>38</v>
      </c>
      <c r="D148" s="1">
        <f t="shared" si="15"/>
        <v>463</v>
      </c>
      <c r="E148" s="1">
        <f t="shared" si="16"/>
        <v>400</v>
      </c>
      <c r="F148" s="1">
        <f t="shared" si="17"/>
        <v>0</v>
      </c>
      <c r="G148" s="1">
        <f t="shared" si="18"/>
        <v>2872</v>
      </c>
      <c r="L148">
        <v>354</v>
      </c>
      <c r="M148">
        <f t="shared" si="19"/>
        <v>4.9751243781094526E-3</v>
      </c>
      <c r="N148">
        <f t="shared" si="20"/>
        <v>0.27363184079602321</v>
      </c>
    </row>
    <row r="149" spans="1:14" x14ac:dyDescent="0.25">
      <c r="A149" s="1">
        <v>148</v>
      </c>
      <c r="B149">
        <v>0.96125895996282507</v>
      </c>
      <c r="C149" s="1">
        <f t="shared" si="14"/>
        <v>8</v>
      </c>
      <c r="D149" s="1">
        <f t="shared" si="15"/>
        <v>493</v>
      </c>
      <c r="E149" s="1">
        <f t="shared" si="16"/>
        <v>400</v>
      </c>
      <c r="F149" s="1">
        <f t="shared" si="17"/>
        <v>0</v>
      </c>
      <c r="G149" s="1">
        <f t="shared" si="18"/>
        <v>2872</v>
      </c>
      <c r="L149">
        <v>353</v>
      </c>
      <c r="M149">
        <f t="shared" si="19"/>
        <v>4.9751243781094526E-3</v>
      </c>
      <c r="N149">
        <f t="shared" si="20"/>
        <v>0.26865671641791378</v>
      </c>
    </row>
    <row r="150" spans="1:14" x14ac:dyDescent="0.25">
      <c r="A150" s="1">
        <v>149</v>
      </c>
      <c r="B150">
        <v>0.4622224497405315</v>
      </c>
      <c r="C150" s="1">
        <f t="shared" si="14"/>
        <v>109</v>
      </c>
      <c r="D150" s="1">
        <f t="shared" si="15"/>
        <v>392</v>
      </c>
      <c r="E150" s="1">
        <f t="shared" si="16"/>
        <v>392</v>
      </c>
      <c r="F150" s="1">
        <f t="shared" si="17"/>
        <v>8</v>
      </c>
      <c r="G150" s="1">
        <f t="shared" si="18"/>
        <v>2811.68</v>
      </c>
      <c r="L150">
        <v>352</v>
      </c>
      <c r="M150">
        <f t="shared" si="19"/>
        <v>4.9751243781094526E-3</v>
      </c>
      <c r="N150">
        <f t="shared" si="20"/>
        <v>0.26368159203980435</v>
      </c>
    </row>
    <row r="151" spans="1:14" x14ac:dyDescent="0.25">
      <c r="A151" s="1">
        <v>150</v>
      </c>
      <c r="B151">
        <v>0.92803262355351612</v>
      </c>
      <c r="C151" s="1">
        <f t="shared" si="14"/>
        <v>15</v>
      </c>
      <c r="D151" s="1">
        <f t="shared" si="15"/>
        <v>486</v>
      </c>
      <c r="E151" s="1">
        <f t="shared" si="16"/>
        <v>400</v>
      </c>
      <c r="F151" s="1">
        <f t="shared" si="17"/>
        <v>0</v>
      </c>
      <c r="G151" s="1">
        <f t="shared" si="18"/>
        <v>2872</v>
      </c>
      <c r="L151">
        <v>351</v>
      </c>
      <c r="M151">
        <f t="shared" si="19"/>
        <v>4.9751243781094526E-3</v>
      </c>
      <c r="N151">
        <f t="shared" si="20"/>
        <v>0.25870646766169492</v>
      </c>
    </row>
    <row r="152" spans="1:14" x14ac:dyDescent="0.25">
      <c r="A152" s="1">
        <v>151</v>
      </c>
      <c r="B152">
        <v>0.32109430436184649</v>
      </c>
      <c r="C152" s="1">
        <f t="shared" si="14"/>
        <v>137</v>
      </c>
      <c r="D152" s="1">
        <f t="shared" si="15"/>
        <v>364</v>
      </c>
      <c r="E152" s="1">
        <f t="shared" si="16"/>
        <v>364</v>
      </c>
      <c r="F152" s="1">
        <f t="shared" si="17"/>
        <v>36</v>
      </c>
      <c r="G152" s="1">
        <f t="shared" si="18"/>
        <v>2600.56</v>
      </c>
      <c r="L152">
        <v>350</v>
      </c>
      <c r="M152">
        <f t="shared" si="19"/>
        <v>4.9751243781094526E-3</v>
      </c>
      <c r="N152">
        <f t="shared" si="20"/>
        <v>0.25373134328358549</v>
      </c>
    </row>
    <row r="153" spans="1:14" x14ac:dyDescent="0.25">
      <c r="A153" s="1">
        <v>152</v>
      </c>
      <c r="B153">
        <v>0.52213780904035434</v>
      </c>
      <c r="C153" s="1">
        <f t="shared" si="14"/>
        <v>97</v>
      </c>
      <c r="D153" s="1">
        <f t="shared" si="15"/>
        <v>404</v>
      </c>
      <c r="E153" s="1">
        <f t="shared" si="16"/>
        <v>400</v>
      </c>
      <c r="F153" s="1">
        <f t="shared" si="17"/>
        <v>0</v>
      </c>
      <c r="G153" s="1">
        <f t="shared" si="18"/>
        <v>2872</v>
      </c>
      <c r="L153">
        <v>349</v>
      </c>
      <c r="M153">
        <f t="shared" si="19"/>
        <v>4.9751243781094526E-3</v>
      </c>
      <c r="N153">
        <f t="shared" si="20"/>
        <v>0.24875621890547603</v>
      </c>
    </row>
    <row r="154" spans="1:14" x14ac:dyDescent="0.25">
      <c r="A154" s="1">
        <v>153</v>
      </c>
      <c r="B154">
        <v>0.4481422501619049</v>
      </c>
      <c r="C154" s="1">
        <f t="shared" si="14"/>
        <v>111</v>
      </c>
      <c r="D154" s="1">
        <f t="shared" si="15"/>
        <v>390</v>
      </c>
      <c r="E154" s="1">
        <f t="shared" si="16"/>
        <v>390</v>
      </c>
      <c r="F154" s="1">
        <f t="shared" si="17"/>
        <v>10</v>
      </c>
      <c r="G154" s="1">
        <f t="shared" si="18"/>
        <v>2796.6</v>
      </c>
      <c r="L154">
        <v>348</v>
      </c>
      <c r="M154">
        <f t="shared" si="19"/>
        <v>4.9751243781094526E-3</v>
      </c>
      <c r="N154">
        <f t="shared" si="20"/>
        <v>0.24378109452736657</v>
      </c>
    </row>
    <row r="155" spans="1:14" x14ac:dyDescent="0.25">
      <c r="A155" s="1">
        <v>154</v>
      </c>
      <c r="B155">
        <v>0.41998672040741036</v>
      </c>
      <c r="C155" s="1">
        <f t="shared" si="14"/>
        <v>117</v>
      </c>
      <c r="D155" s="1">
        <f t="shared" si="15"/>
        <v>384</v>
      </c>
      <c r="E155" s="1">
        <f t="shared" si="16"/>
        <v>384</v>
      </c>
      <c r="F155" s="1">
        <f t="shared" si="17"/>
        <v>16</v>
      </c>
      <c r="G155" s="1">
        <f t="shared" si="18"/>
        <v>2751.36</v>
      </c>
      <c r="L155">
        <v>347</v>
      </c>
      <c r="M155">
        <f t="shared" si="19"/>
        <v>4.9751243781094526E-3</v>
      </c>
      <c r="N155">
        <f t="shared" si="20"/>
        <v>0.23880597014925711</v>
      </c>
    </row>
    <row r="156" spans="1:14" x14ac:dyDescent="0.25">
      <c r="A156" s="1">
        <v>155</v>
      </c>
      <c r="B156">
        <v>0.56750752548912076</v>
      </c>
      <c r="C156" s="1">
        <f t="shared" si="14"/>
        <v>87</v>
      </c>
      <c r="D156" s="1">
        <f t="shared" si="15"/>
        <v>414</v>
      </c>
      <c r="E156" s="1">
        <f t="shared" si="16"/>
        <v>400</v>
      </c>
      <c r="F156" s="1">
        <f t="shared" si="17"/>
        <v>0</v>
      </c>
      <c r="G156" s="1">
        <f t="shared" si="18"/>
        <v>2872</v>
      </c>
      <c r="L156">
        <v>346</v>
      </c>
      <c r="M156">
        <f t="shared" si="19"/>
        <v>4.9751243781094526E-3</v>
      </c>
      <c r="N156">
        <f t="shared" si="20"/>
        <v>0.23383084577114766</v>
      </c>
    </row>
    <row r="157" spans="1:14" x14ac:dyDescent="0.25">
      <c r="A157" s="1">
        <v>156</v>
      </c>
      <c r="B157">
        <v>0.97106233680739007</v>
      </c>
      <c r="C157" s="1">
        <f t="shared" si="14"/>
        <v>6</v>
      </c>
      <c r="D157" s="1">
        <f t="shared" si="15"/>
        <v>495</v>
      </c>
      <c r="E157" s="1">
        <f t="shared" si="16"/>
        <v>400</v>
      </c>
      <c r="F157" s="1">
        <f t="shared" si="17"/>
        <v>0</v>
      </c>
      <c r="G157" s="1">
        <f t="shared" si="18"/>
        <v>2872</v>
      </c>
      <c r="L157">
        <v>345</v>
      </c>
      <c r="M157">
        <f t="shared" si="19"/>
        <v>4.9751243781094526E-3</v>
      </c>
      <c r="N157">
        <f t="shared" si="20"/>
        <v>0.2288557213930382</v>
      </c>
    </row>
    <row r="158" spans="1:14" x14ac:dyDescent="0.25">
      <c r="A158" s="1">
        <v>157</v>
      </c>
      <c r="B158">
        <v>0.71353735224956105</v>
      </c>
      <c r="C158" s="1">
        <f t="shared" si="14"/>
        <v>58</v>
      </c>
      <c r="D158" s="1">
        <f t="shared" si="15"/>
        <v>443</v>
      </c>
      <c r="E158" s="1">
        <f t="shared" si="16"/>
        <v>400</v>
      </c>
      <c r="F158" s="1">
        <f t="shared" si="17"/>
        <v>0</v>
      </c>
      <c r="G158" s="1">
        <f t="shared" si="18"/>
        <v>2872</v>
      </c>
      <c r="L158">
        <v>344</v>
      </c>
      <c r="M158">
        <f t="shared" si="19"/>
        <v>4.9751243781094526E-3</v>
      </c>
      <c r="N158">
        <f t="shared" si="20"/>
        <v>0.22388059701492874</v>
      </c>
    </row>
    <row r="159" spans="1:14" x14ac:dyDescent="0.25">
      <c r="A159" s="1">
        <v>158</v>
      </c>
      <c r="B159">
        <v>0.76532461284584985</v>
      </c>
      <c r="C159" s="1">
        <f t="shared" si="14"/>
        <v>48</v>
      </c>
      <c r="D159" s="1">
        <f t="shared" si="15"/>
        <v>453</v>
      </c>
      <c r="E159" s="1">
        <f t="shared" si="16"/>
        <v>400</v>
      </c>
      <c r="F159" s="1">
        <f t="shared" si="17"/>
        <v>0</v>
      </c>
      <c r="G159" s="1">
        <f t="shared" si="18"/>
        <v>2872</v>
      </c>
      <c r="L159">
        <v>343</v>
      </c>
      <c r="M159">
        <f t="shared" si="19"/>
        <v>4.9751243781094526E-3</v>
      </c>
      <c r="N159">
        <f t="shared" si="20"/>
        <v>0.21890547263681928</v>
      </c>
    </row>
    <row r="160" spans="1:14" x14ac:dyDescent="0.25">
      <c r="A160" s="1">
        <v>159</v>
      </c>
      <c r="B160">
        <v>0.46943310930072457</v>
      </c>
      <c r="C160" s="1">
        <f t="shared" si="14"/>
        <v>107</v>
      </c>
      <c r="D160" s="1">
        <f t="shared" si="15"/>
        <v>394</v>
      </c>
      <c r="E160" s="1">
        <f t="shared" si="16"/>
        <v>394</v>
      </c>
      <c r="F160" s="1">
        <f t="shared" si="17"/>
        <v>6</v>
      </c>
      <c r="G160" s="1">
        <f t="shared" si="18"/>
        <v>2826.76</v>
      </c>
      <c r="L160">
        <v>342</v>
      </c>
      <c r="M160">
        <f t="shared" si="19"/>
        <v>4.9751243781094526E-3</v>
      </c>
      <c r="N160">
        <f t="shared" si="20"/>
        <v>0.21393034825870982</v>
      </c>
    </row>
    <row r="161" spans="1:14" x14ac:dyDescent="0.25">
      <c r="A161" s="1">
        <v>160</v>
      </c>
      <c r="B161">
        <v>0.96074839302359849</v>
      </c>
      <c r="C161" s="1">
        <f t="shared" si="14"/>
        <v>8</v>
      </c>
      <c r="D161" s="1">
        <f t="shared" si="15"/>
        <v>493</v>
      </c>
      <c r="E161" s="1">
        <f t="shared" si="16"/>
        <v>400</v>
      </c>
      <c r="F161" s="1">
        <f t="shared" si="17"/>
        <v>0</v>
      </c>
      <c r="G161" s="1">
        <f t="shared" si="18"/>
        <v>2872</v>
      </c>
      <c r="L161">
        <v>341</v>
      </c>
      <c r="M161">
        <f t="shared" si="19"/>
        <v>4.9751243781094526E-3</v>
      </c>
      <c r="N161">
        <f t="shared" si="20"/>
        <v>0.20895522388060037</v>
      </c>
    </row>
    <row r="162" spans="1:14" x14ac:dyDescent="0.25">
      <c r="A162" s="1">
        <v>161</v>
      </c>
      <c r="B162">
        <v>0.81012962933518007</v>
      </c>
      <c r="C162" s="1">
        <f t="shared" si="14"/>
        <v>39</v>
      </c>
      <c r="D162" s="1">
        <f t="shared" si="15"/>
        <v>462</v>
      </c>
      <c r="E162" s="1">
        <f t="shared" si="16"/>
        <v>400</v>
      </c>
      <c r="F162" s="1">
        <f t="shared" si="17"/>
        <v>0</v>
      </c>
      <c r="G162" s="1">
        <f t="shared" si="18"/>
        <v>2872</v>
      </c>
      <c r="L162">
        <v>340</v>
      </c>
      <c r="M162">
        <f t="shared" si="19"/>
        <v>4.9751243781094526E-3</v>
      </c>
      <c r="N162">
        <f t="shared" si="20"/>
        <v>0.20398009950249091</v>
      </c>
    </row>
    <row r="163" spans="1:14" x14ac:dyDescent="0.25">
      <c r="A163" s="1">
        <v>162</v>
      </c>
      <c r="B163">
        <v>0.46827245005692597</v>
      </c>
      <c r="C163" s="1">
        <f t="shared" si="14"/>
        <v>107</v>
      </c>
      <c r="D163" s="1">
        <f t="shared" si="15"/>
        <v>394</v>
      </c>
      <c r="E163" s="1">
        <f t="shared" si="16"/>
        <v>394</v>
      </c>
      <c r="F163" s="1">
        <f t="shared" si="17"/>
        <v>6</v>
      </c>
      <c r="G163" s="1">
        <f t="shared" si="18"/>
        <v>2826.76</v>
      </c>
      <c r="L163">
        <v>339</v>
      </c>
      <c r="M163">
        <f t="shared" si="19"/>
        <v>4.9751243781094526E-3</v>
      </c>
      <c r="N163">
        <f t="shared" si="20"/>
        <v>0.19900497512438145</v>
      </c>
    </row>
    <row r="164" spans="1:14" x14ac:dyDescent="0.25">
      <c r="A164" s="1">
        <v>163</v>
      </c>
      <c r="B164">
        <v>0.65819886918819015</v>
      </c>
      <c r="C164" s="1">
        <f t="shared" si="14"/>
        <v>69</v>
      </c>
      <c r="D164" s="1">
        <f t="shared" si="15"/>
        <v>432</v>
      </c>
      <c r="E164" s="1">
        <f t="shared" si="16"/>
        <v>400</v>
      </c>
      <c r="F164" s="1">
        <f t="shared" si="17"/>
        <v>0</v>
      </c>
      <c r="G164" s="1">
        <f t="shared" si="18"/>
        <v>2872</v>
      </c>
      <c r="L164">
        <v>338</v>
      </c>
      <c r="M164">
        <f t="shared" si="19"/>
        <v>4.9751243781094526E-3</v>
      </c>
      <c r="N164">
        <f t="shared" si="20"/>
        <v>0.19402985074627199</v>
      </c>
    </row>
    <row r="165" spans="1:14" x14ac:dyDescent="0.25">
      <c r="A165" s="1">
        <v>164</v>
      </c>
      <c r="B165">
        <v>0.33196369219102517</v>
      </c>
      <c r="C165" s="1">
        <f t="shared" si="14"/>
        <v>135</v>
      </c>
      <c r="D165" s="1">
        <f t="shared" si="15"/>
        <v>366</v>
      </c>
      <c r="E165" s="1">
        <f t="shared" si="16"/>
        <v>366</v>
      </c>
      <c r="F165" s="1">
        <f t="shared" si="17"/>
        <v>34</v>
      </c>
      <c r="G165" s="1">
        <f t="shared" si="18"/>
        <v>2615.64</v>
      </c>
      <c r="L165">
        <v>337</v>
      </c>
      <c r="M165">
        <f t="shared" si="19"/>
        <v>4.9751243781094526E-3</v>
      </c>
      <c r="N165">
        <f t="shared" si="20"/>
        <v>0.18905472636816253</v>
      </c>
    </row>
    <row r="166" spans="1:14" x14ac:dyDescent="0.25">
      <c r="A166" s="1">
        <v>165</v>
      </c>
      <c r="B166">
        <v>0.14875678566770212</v>
      </c>
      <c r="C166" s="1">
        <f t="shared" si="14"/>
        <v>172</v>
      </c>
      <c r="D166" s="1">
        <f t="shared" si="15"/>
        <v>329</v>
      </c>
      <c r="E166" s="1">
        <f t="shared" si="16"/>
        <v>329</v>
      </c>
      <c r="F166" s="1">
        <f t="shared" si="17"/>
        <v>71</v>
      </c>
      <c r="G166" s="1">
        <f t="shared" si="18"/>
        <v>2336.66</v>
      </c>
      <c r="L166">
        <v>336</v>
      </c>
      <c r="M166">
        <f t="shared" si="19"/>
        <v>4.9751243781094526E-3</v>
      </c>
      <c r="N166">
        <f t="shared" si="20"/>
        <v>0.18407960199005308</v>
      </c>
    </row>
    <row r="167" spans="1:14" x14ac:dyDescent="0.25">
      <c r="A167" s="1">
        <v>166</v>
      </c>
      <c r="B167">
        <v>0.91037215710132313</v>
      </c>
      <c r="C167" s="1">
        <f t="shared" si="14"/>
        <v>19</v>
      </c>
      <c r="D167" s="1">
        <f t="shared" si="15"/>
        <v>482</v>
      </c>
      <c r="E167" s="1">
        <f t="shared" si="16"/>
        <v>400</v>
      </c>
      <c r="F167" s="1">
        <f t="shared" si="17"/>
        <v>0</v>
      </c>
      <c r="G167" s="1">
        <f t="shared" si="18"/>
        <v>2872</v>
      </c>
      <c r="L167">
        <v>335</v>
      </c>
      <c r="M167">
        <f t="shared" si="19"/>
        <v>4.9751243781094526E-3</v>
      </c>
      <c r="N167">
        <f t="shared" si="20"/>
        <v>0.17910447761194362</v>
      </c>
    </row>
    <row r="168" spans="1:14" x14ac:dyDescent="0.25">
      <c r="A168" s="1">
        <v>167</v>
      </c>
      <c r="B168">
        <v>0.67700139124653158</v>
      </c>
      <c r="C168" s="1">
        <f t="shared" si="14"/>
        <v>65</v>
      </c>
      <c r="D168" s="1">
        <f t="shared" si="15"/>
        <v>436</v>
      </c>
      <c r="E168" s="1">
        <f t="shared" si="16"/>
        <v>400</v>
      </c>
      <c r="F168" s="1">
        <f t="shared" si="17"/>
        <v>0</v>
      </c>
      <c r="G168" s="1">
        <f t="shared" si="18"/>
        <v>2872</v>
      </c>
      <c r="L168">
        <v>334</v>
      </c>
      <c r="M168">
        <f t="shared" si="19"/>
        <v>4.9751243781094526E-3</v>
      </c>
      <c r="N168">
        <f t="shared" si="20"/>
        <v>0.17412935323383416</v>
      </c>
    </row>
    <row r="169" spans="1:14" x14ac:dyDescent="0.25">
      <c r="A169" s="1">
        <v>168</v>
      </c>
      <c r="B169">
        <v>0.5687136547776469</v>
      </c>
      <c r="C169" s="1">
        <f t="shared" si="14"/>
        <v>87</v>
      </c>
      <c r="D169" s="1">
        <f t="shared" si="15"/>
        <v>414</v>
      </c>
      <c r="E169" s="1">
        <f t="shared" si="16"/>
        <v>400</v>
      </c>
      <c r="F169" s="1">
        <f t="shared" si="17"/>
        <v>0</v>
      </c>
      <c r="G169" s="1">
        <f t="shared" si="18"/>
        <v>2872</v>
      </c>
      <c r="L169">
        <v>333</v>
      </c>
      <c r="M169">
        <f t="shared" si="19"/>
        <v>4.9751243781094526E-3</v>
      </c>
      <c r="N169">
        <f t="shared" si="20"/>
        <v>0.1691542288557247</v>
      </c>
    </row>
    <row r="170" spans="1:14" x14ac:dyDescent="0.25">
      <c r="A170" s="1">
        <v>169</v>
      </c>
      <c r="B170">
        <v>5.2504509746658767E-2</v>
      </c>
      <c r="C170" s="1">
        <f t="shared" si="14"/>
        <v>191</v>
      </c>
      <c r="D170" s="1">
        <f t="shared" si="15"/>
        <v>310</v>
      </c>
      <c r="E170" s="1">
        <f t="shared" si="16"/>
        <v>310</v>
      </c>
      <c r="F170" s="1">
        <f t="shared" si="17"/>
        <v>90</v>
      </c>
      <c r="G170" s="1">
        <f t="shared" si="18"/>
        <v>2193.4</v>
      </c>
      <c r="L170">
        <v>332</v>
      </c>
      <c r="M170">
        <f t="shared" si="19"/>
        <v>4.9751243781094526E-3</v>
      </c>
      <c r="N170">
        <f t="shared" si="20"/>
        <v>0.16417910447761525</v>
      </c>
    </row>
    <row r="171" spans="1:14" x14ac:dyDescent="0.25">
      <c r="A171" s="1">
        <v>170</v>
      </c>
      <c r="B171">
        <v>0.54312013530439407</v>
      </c>
      <c r="C171" s="1">
        <f t="shared" si="14"/>
        <v>92</v>
      </c>
      <c r="D171" s="1">
        <f t="shared" si="15"/>
        <v>409</v>
      </c>
      <c r="E171" s="1">
        <f t="shared" si="16"/>
        <v>400</v>
      </c>
      <c r="F171" s="1">
        <f t="shared" si="17"/>
        <v>0</v>
      </c>
      <c r="G171" s="1">
        <f t="shared" si="18"/>
        <v>2872</v>
      </c>
      <c r="L171">
        <v>331</v>
      </c>
      <c r="M171">
        <f t="shared" si="19"/>
        <v>4.9751243781094526E-3</v>
      </c>
      <c r="N171">
        <f t="shared" si="20"/>
        <v>0.15920398009950579</v>
      </c>
    </row>
    <row r="172" spans="1:14" x14ac:dyDescent="0.25">
      <c r="A172" s="1">
        <v>171</v>
      </c>
      <c r="B172">
        <v>0.3593396994650192</v>
      </c>
      <c r="C172" s="1">
        <f t="shared" si="14"/>
        <v>129</v>
      </c>
      <c r="D172" s="1">
        <f t="shared" si="15"/>
        <v>372</v>
      </c>
      <c r="E172" s="1">
        <f t="shared" si="16"/>
        <v>372</v>
      </c>
      <c r="F172" s="1">
        <f t="shared" si="17"/>
        <v>28</v>
      </c>
      <c r="G172" s="1">
        <f t="shared" si="18"/>
        <v>2660.88</v>
      </c>
      <c r="L172">
        <v>330</v>
      </c>
      <c r="M172">
        <f t="shared" si="19"/>
        <v>4.9751243781094526E-3</v>
      </c>
      <c r="N172">
        <f t="shared" si="20"/>
        <v>0.15422885572139633</v>
      </c>
    </row>
    <row r="173" spans="1:14" x14ac:dyDescent="0.25">
      <c r="A173" s="1">
        <v>172</v>
      </c>
      <c r="B173">
        <v>0.56007482973248413</v>
      </c>
      <c r="C173" s="1">
        <f t="shared" si="14"/>
        <v>89</v>
      </c>
      <c r="D173" s="1">
        <f t="shared" si="15"/>
        <v>412</v>
      </c>
      <c r="E173" s="1">
        <f t="shared" si="16"/>
        <v>400</v>
      </c>
      <c r="F173" s="1">
        <f t="shared" si="17"/>
        <v>0</v>
      </c>
      <c r="G173" s="1">
        <f t="shared" si="18"/>
        <v>2872</v>
      </c>
      <c r="L173">
        <v>329</v>
      </c>
      <c r="M173">
        <f t="shared" si="19"/>
        <v>4.9751243781094526E-3</v>
      </c>
      <c r="N173">
        <f t="shared" si="20"/>
        <v>0.14925373134328687</v>
      </c>
    </row>
    <row r="174" spans="1:14" x14ac:dyDescent="0.25">
      <c r="A174" s="1">
        <v>173</v>
      </c>
      <c r="B174">
        <v>4.8571723331946481E-2</v>
      </c>
      <c r="C174" s="1">
        <f t="shared" si="14"/>
        <v>192</v>
      </c>
      <c r="D174" s="1">
        <f t="shared" si="15"/>
        <v>309</v>
      </c>
      <c r="E174" s="1">
        <f t="shared" si="16"/>
        <v>309</v>
      </c>
      <c r="F174" s="1">
        <f t="shared" si="17"/>
        <v>91</v>
      </c>
      <c r="G174" s="1">
        <f t="shared" si="18"/>
        <v>2185.86</v>
      </c>
      <c r="L174">
        <v>328</v>
      </c>
      <c r="M174">
        <f t="shared" si="19"/>
        <v>4.9751243781094526E-3</v>
      </c>
      <c r="N174">
        <f t="shared" si="20"/>
        <v>0.14427860696517741</v>
      </c>
    </row>
    <row r="175" spans="1:14" x14ac:dyDescent="0.25">
      <c r="A175" s="1">
        <v>174</v>
      </c>
      <c r="B175">
        <v>0.95539802318543077</v>
      </c>
      <c r="C175" s="1">
        <f t="shared" si="14"/>
        <v>9</v>
      </c>
      <c r="D175" s="1">
        <f t="shared" si="15"/>
        <v>492</v>
      </c>
      <c r="E175" s="1">
        <f t="shared" si="16"/>
        <v>400</v>
      </c>
      <c r="F175" s="1">
        <f t="shared" si="17"/>
        <v>0</v>
      </c>
      <c r="G175" s="1">
        <f t="shared" si="18"/>
        <v>2872</v>
      </c>
      <c r="L175">
        <v>327</v>
      </c>
      <c r="M175">
        <f t="shared" si="19"/>
        <v>4.9751243781094526E-3</v>
      </c>
      <c r="N175">
        <f t="shared" si="20"/>
        <v>0.13930348258706796</v>
      </c>
    </row>
    <row r="176" spans="1:14" x14ac:dyDescent="0.25">
      <c r="A176" s="1">
        <v>175</v>
      </c>
      <c r="B176">
        <v>0.3920211967259114</v>
      </c>
      <c r="C176" s="1">
        <f t="shared" si="14"/>
        <v>123</v>
      </c>
      <c r="D176" s="1">
        <f t="shared" si="15"/>
        <v>378</v>
      </c>
      <c r="E176" s="1">
        <f t="shared" si="16"/>
        <v>378</v>
      </c>
      <c r="F176" s="1">
        <f t="shared" si="17"/>
        <v>22</v>
      </c>
      <c r="G176" s="1">
        <f t="shared" si="18"/>
        <v>2706.12</v>
      </c>
      <c r="L176">
        <v>326</v>
      </c>
      <c r="M176">
        <f t="shared" si="19"/>
        <v>4.9751243781094526E-3</v>
      </c>
      <c r="N176">
        <f t="shared" si="20"/>
        <v>0.1343283582089585</v>
      </c>
    </row>
    <row r="177" spans="1:14" x14ac:dyDescent="0.25">
      <c r="A177" s="1">
        <v>176</v>
      </c>
      <c r="B177">
        <v>0.41774052268668005</v>
      </c>
      <c r="C177" s="1">
        <f t="shared" si="14"/>
        <v>118</v>
      </c>
      <c r="D177" s="1">
        <f t="shared" si="15"/>
        <v>383</v>
      </c>
      <c r="E177" s="1">
        <f t="shared" si="16"/>
        <v>383</v>
      </c>
      <c r="F177" s="1">
        <f t="shared" si="17"/>
        <v>17</v>
      </c>
      <c r="G177" s="1">
        <f t="shared" si="18"/>
        <v>2743.82</v>
      </c>
      <c r="L177">
        <v>325</v>
      </c>
      <c r="M177">
        <f t="shared" si="19"/>
        <v>4.9751243781094526E-3</v>
      </c>
      <c r="N177">
        <f t="shared" si="20"/>
        <v>0.12935323383084904</v>
      </c>
    </row>
    <row r="178" spans="1:14" x14ac:dyDescent="0.25">
      <c r="A178" s="1">
        <v>177</v>
      </c>
      <c r="B178">
        <v>0.36458080637127888</v>
      </c>
      <c r="C178" s="1">
        <f t="shared" si="14"/>
        <v>128</v>
      </c>
      <c r="D178" s="1">
        <f t="shared" si="15"/>
        <v>373</v>
      </c>
      <c r="E178" s="1">
        <f t="shared" si="16"/>
        <v>373</v>
      </c>
      <c r="F178" s="1">
        <f t="shared" si="17"/>
        <v>27</v>
      </c>
      <c r="G178" s="1">
        <f t="shared" si="18"/>
        <v>2668.42</v>
      </c>
      <c r="L178">
        <v>324</v>
      </c>
      <c r="M178">
        <f t="shared" si="19"/>
        <v>4.9751243781094526E-3</v>
      </c>
      <c r="N178">
        <f t="shared" si="20"/>
        <v>0.12437810945273958</v>
      </c>
    </row>
    <row r="179" spans="1:14" x14ac:dyDescent="0.25">
      <c r="A179" s="1">
        <v>178</v>
      </c>
      <c r="B179">
        <v>0.8360704542958628</v>
      </c>
      <c r="C179" s="1">
        <f t="shared" si="14"/>
        <v>33</v>
      </c>
      <c r="D179" s="1">
        <f t="shared" si="15"/>
        <v>468</v>
      </c>
      <c r="E179" s="1">
        <f t="shared" si="16"/>
        <v>400</v>
      </c>
      <c r="F179" s="1">
        <f t="shared" si="17"/>
        <v>0</v>
      </c>
      <c r="G179" s="1">
        <f t="shared" si="18"/>
        <v>2872</v>
      </c>
      <c r="L179">
        <v>323</v>
      </c>
      <c r="M179">
        <f t="shared" si="19"/>
        <v>4.9751243781094526E-3</v>
      </c>
      <c r="N179">
        <f t="shared" si="20"/>
        <v>0.11940298507463012</v>
      </c>
    </row>
    <row r="180" spans="1:14" x14ac:dyDescent="0.25">
      <c r="A180" s="1">
        <v>179</v>
      </c>
      <c r="B180">
        <v>0.62517510727191794</v>
      </c>
      <c r="C180" s="1">
        <f t="shared" si="14"/>
        <v>76</v>
      </c>
      <c r="D180" s="1">
        <f t="shared" si="15"/>
        <v>425</v>
      </c>
      <c r="E180" s="1">
        <f t="shared" si="16"/>
        <v>400</v>
      </c>
      <c r="F180" s="1">
        <f t="shared" si="17"/>
        <v>0</v>
      </c>
      <c r="G180" s="1">
        <f t="shared" si="18"/>
        <v>2872</v>
      </c>
      <c r="L180">
        <v>322</v>
      </c>
      <c r="M180">
        <f t="shared" si="19"/>
        <v>4.9751243781094526E-3</v>
      </c>
      <c r="N180">
        <f t="shared" si="20"/>
        <v>0.11442786069652067</v>
      </c>
    </row>
    <row r="181" spans="1:14" x14ac:dyDescent="0.25">
      <c r="A181" s="1">
        <v>180</v>
      </c>
      <c r="B181">
        <v>2.6264194667448226E-2</v>
      </c>
      <c r="C181" s="1">
        <f t="shared" si="14"/>
        <v>196</v>
      </c>
      <c r="D181" s="1">
        <f t="shared" si="15"/>
        <v>305</v>
      </c>
      <c r="E181" s="1">
        <f t="shared" si="16"/>
        <v>305</v>
      </c>
      <c r="F181" s="1">
        <f t="shared" si="17"/>
        <v>95</v>
      </c>
      <c r="G181" s="1">
        <f t="shared" si="18"/>
        <v>2155.6999999999998</v>
      </c>
      <c r="L181">
        <v>321</v>
      </c>
      <c r="M181">
        <f t="shared" si="19"/>
        <v>4.9751243781094526E-3</v>
      </c>
      <c r="N181">
        <f t="shared" si="20"/>
        <v>0.10945273631841121</v>
      </c>
    </row>
    <row r="182" spans="1:14" x14ac:dyDescent="0.25">
      <c r="A182" s="1">
        <v>181</v>
      </c>
      <c r="B182">
        <v>0.77464370570938512</v>
      </c>
      <c r="C182" s="1">
        <f t="shared" si="14"/>
        <v>46</v>
      </c>
      <c r="D182" s="1">
        <f t="shared" si="15"/>
        <v>455</v>
      </c>
      <c r="E182" s="1">
        <f t="shared" si="16"/>
        <v>400</v>
      </c>
      <c r="F182" s="1">
        <f t="shared" si="17"/>
        <v>0</v>
      </c>
      <c r="G182" s="1">
        <f t="shared" si="18"/>
        <v>2872</v>
      </c>
      <c r="L182">
        <v>320</v>
      </c>
      <c r="M182">
        <f t="shared" si="19"/>
        <v>4.9751243781094526E-3</v>
      </c>
      <c r="N182">
        <f t="shared" si="20"/>
        <v>0.10447761194030175</v>
      </c>
    </row>
    <row r="183" spans="1:14" x14ac:dyDescent="0.25">
      <c r="A183" s="1">
        <v>182</v>
      </c>
      <c r="B183">
        <v>0.47445018803524985</v>
      </c>
      <c r="C183" s="1">
        <f t="shared" si="14"/>
        <v>106</v>
      </c>
      <c r="D183" s="1">
        <f t="shared" si="15"/>
        <v>395</v>
      </c>
      <c r="E183" s="1">
        <f t="shared" si="16"/>
        <v>395</v>
      </c>
      <c r="F183" s="1">
        <f t="shared" si="17"/>
        <v>5</v>
      </c>
      <c r="G183" s="1">
        <f t="shared" si="18"/>
        <v>2834.3</v>
      </c>
      <c r="L183">
        <v>319</v>
      </c>
      <c r="M183">
        <f t="shared" si="19"/>
        <v>4.9751243781094526E-3</v>
      </c>
      <c r="N183">
        <f t="shared" si="20"/>
        <v>9.9502487562192293E-2</v>
      </c>
    </row>
    <row r="184" spans="1:14" x14ac:dyDescent="0.25">
      <c r="A184" s="1">
        <v>183</v>
      </c>
      <c r="B184">
        <v>0.95944854684454284</v>
      </c>
      <c r="C184" s="1">
        <f t="shared" si="14"/>
        <v>9</v>
      </c>
      <c r="D184" s="1">
        <f t="shared" si="15"/>
        <v>492</v>
      </c>
      <c r="E184" s="1">
        <f t="shared" si="16"/>
        <v>400</v>
      </c>
      <c r="F184" s="1">
        <f t="shared" si="17"/>
        <v>0</v>
      </c>
      <c r="G184" s="1">
        <f t="shared" si="18"/>
        <v>2872</v>
      </c>
      <c r="L184">
        <v>318</v>
      </c>
      <c r="M184">
        <f t="shared" si="19"/>
        <v>4.9751243781094526E-3</v>
      </c>
      <c r="N184">
        <f t="shared" si="20"/>
        <v>9.4527363184082835E-2</v>
      </c>
    </row>
    <row r="185" spans="1:14" x14ac:dyDescent="0.25">
      <c r="A185" s="1">
        <v>184</v>
      </c>
      <c r="B185">
        <v>8.8325064567341682E-2</v>
      </c>
      <c r="C185" s="1">
        <f t="shared" si="14"/>
        <v>184</v>
      </c>
      <c r="D185" s="1">
        <f t="shared" si="15"/>
        <v>317</v>
      </c>
      <c r="E185" s="1">
        <f t="shared" si="16"/>
        <v>317</v>
      </c>
      <c r="F185" s="1">
        <f t="shared" si="17"/>
        <v>83</v>
      </c>
      <c r="G185" s="1">
        <f t="shared" si="18"/>
        <v>2246.1799999999998</v>
      </c>
      <c r="L185">
        <v>317</v>
      </c>
      <c r="M185">
        <f t="shared" si="19"/>
        <v>4.9751243781094526E-3</v>
      </c>
      <c r="N185">
        <f t="shared" si="20"/>
        <v>8.9552238805973378E-2</v>
      </c>
    </row>
    <row r="186" spans="1:14" x14ac:dyDescent="0.25">
      <c r="A186" s="1">
        <v>185</v>
      </c>
      <c r="B186">
        <v>0.87199812070039995</v>
      </c>
      <c r="C186" s="1">
        <f t="shared" si="14"/>
        <v>26</v>
      </c>
      <c r="D186" s="1">
        <f t="shared" si="15"/>
        <v>475</v>
      </c>
      <c r="E186" s="1">
        <f t="shared" si="16"/>
        <v>400</v>
      </c>
      <c r="F186" s="1">
        <f t="shared" si="17"/>
        <v>0</v>
      </c>
      <c r="G186" s="1">
        <f t="shared" si="18"/>
        <v>2872</v>
      </c>
      <c r="L186">
        <v>316</v>
      </c>
      <c r="M186">
        <f t="shared" si="19"/>
        <v>4.9751243781094526E-3</v>
      </c>
      <c r="N186">
        <f t="shared" si="20"/>
        <v>8.457711442786392E-2</v>
      </c>
    </row>
    <row r="187" spans="1:14" x14ac:dyDescent="0.25">
      <c r="A187" s="1">
        <v>186</v>
      </c>
      <c r="B187">
        <v>0.52876176718184653</v>
      </c>
      <c r="C187" s="1">
        <f t="shared" si="14"/>
        <v>95</v>
      </c>
      <c r="D187" s="1">
        <f t="shared" si="15"/>
        <v>406</v>
      </c>
      <c r="E187" s="1">
        <f t="shared" si="16"/>
        <v>400</v>
      </c>
      <c r="F187" s="1">
        <f t="shared" si="17"/>
        <v>0</v>
      </c>
      <c r="G187" s="1">
        <f t="shared" si="18"/>
        <v>2872</v>
      </c>
      <c r="L187">
        <v>315</v>
      </c>
      <c r="M187">
        <f t="shared" si="19"/>
        <v>4.9751243781094526E-3</v>
      </c>
      <c r="N187">
        <f t="shared" si="20"/>
        <v>7.9601990049754462E-2</v>
      </c>
    </row>
    <row r="188" spans="1:14" x14ac:dyDescent="0.25">
      <c r="A188" s="1">
        <v>187</v>
      </c>
      <c r="B188">
        <v>0.97330453258445893</v>
      </c>
      <c r="C188" s="1">
        <f t="shared" si="14"/>
        <v>6</v>
      </c>
      <c r="D188" s="1">
        <f t="shared" si="15"/>
        <v>495</v>
      </c>
      <c r="E188" s="1">
        <f t="shared" si="16"/>
        <v>400</v>
      </c>
      <c r="F188" s="1">
        <f t="shared" si="17"/>
        <v>0</v>
      </c>
      <c r="G188" s="1">
        <f t="shared" si="18"/>
        <v>2872</v>
      </c>
      <c r="L188">
        <v>314</v>
      </c>
      <c r="M188">
        <f t="shared" si="19"/>
        <v>4.9751243781094526E-3</v>
      </c>
      <c r="N188">
        <f t="shared" si="20"/>
        <v>7.4626865671645004E-2</v>
      </c>
    </row>
    <row r="189" spans="1:14" x14ac:dyDescent="0.25">
      <c r="A189" s="1">
        <v>188</v>
      </c>
      <c r="B189">
        <v>0.27077796457432901</v>
      </c>
      <c r="C189" s="1">
        <f t="shared" si="14"/>
        <v>147</v>
      </c>
      <c r="D189" s="1">
        <f t="shared" si="15"/>
        <v>354</v>
      </c>
      <c r="E189" s="1">
        <f t="shared" si="16"/>
        <v>354</v>
      </c>
      <c r="F189" s="1">
        <f t="shared" si="17"/>
        <v>46</v>
      </c>
      <c r="G189" s="1">
        <f t="shared" si="18"/>
        <v>2525.16</v>
      </c>
      <c r="L189">
        <v>313</v>
      </c>
      <c r="M189">
        <f t="shared" si="19"/>
        <v>4.9751243781094526E-3</v>
      </c>
      <c r="N189">
        <f t="shared" si="20"/>
        <v>6.9651741293535546E-2</v>
      </c>
    </row>
    <row r="190" spans="1:14" x14ac:dyDescent="0.25">
      <c r="A190" s="1">
        <v>189</v>
      </c>
      <c r="B190">
        <v>0.34369346855274741</v>
      </c>
      <c r="C190" s="1">
        <f t="shared" si="14"/>
        <v>132</v>
      </c>
      <c r="D190" s="1">
        <f t="shared" si="15"/>
        <v>369</v>
      </c>
      <c r="E190" s="1">
        <f t="shared" si="16"/>
        <v>369</v>
      </c>
      <c r="F190" s="1">
        <f t="shared" si="17"/>
        <v>31</v>
      </c>
      <c r="G190" s="1">
        <f t="shared" si="18"/>
        <v>2638.26</v>
      </c>
      <c r="L190">
        <v>312</v>
      </c>
      <c r="M190">
        <f t="shared" si="19"/>
        <v>4.9751243781094526E-3</v>
      </c>
      <c r="N190">
        <f t="shared" si="20"/>
        <v>6.4676616915426088E-2</v>
      </c>
    </row>
    <row r="191" spans="1:14" x14ac:dyDescent="0.25">
      <c r="A191" s="1">
        <v>190</v>
      </c>
      <c r="B191">
        <v>0.23073810021709795</v>
      </c>
      <c r="C191" s="1">
        <f t="shared" si="14"/>
        <v>155</v>
      </c>
      <c r="D191" s="1">
        <f t="shared" si="15"/>
        <v>346</v>
      </c>
      <c r="E191" s="1">
        <f t="shared" si="16"/>
        <v>346</v>
      </c>
      <c r="F191" s="1">
        <f t="shared" si="17"/>
        <v>54</v>
      </c>
      <c r="G191" s="1">
        <f t="shared" si="18"/>
        <v>2464.84</v>
      </c>
      <c r="L191">
        <v>311</v>
      </c>
      <c r="M191">
        <f t="shared" si="19"/>
        <v>4.9751243781094526E-3</v>
      </c>
      <c r="N191">
        <f t="shared" si="20"/>
        <v>5.9701492537316637E-2</v>
      </c>
    </row>
    <row r="192" spans="1:14" x14ac:dyDescent="0.25">
      <c r="A192" s="1">
        <v>191</v>
      </c>
      <c r="B192">
        <v>0.33104858677749327</v>
      </c>
      <c r="C192" s="1">
        <f t="shared" si="14"/>
        <v>135</v>
      </c>
      <c r="D192" s="1">
        <f t="shared" si="15"/>
        <v>366</v>
      </c>
      <c r="E192" s="1">
        <f t="shared" si="16"/>
        <v>366</v>
      </c>
      <c r="F192" s="1">
        <f t="shared" si="17"/>
        <v>34</v>
      </c>
      <c r="G192" s="1">
        <f t="shared" si="18"/>
        <v>2615.64</v>
      </c>
      <c r="L192">
        <v>310</v>
      </c>
      <c r="M192">
        <f t="shared" si="19"/>
        <v>4.9751243781094526E-3</v>
      </c>
      <c r="N192">
        <f t="shared" si="20"/>
        <v>5.4726368159207187E-2</v>
      </c>
    </row>
    <row r="193" spans="1:14" x14ac:dyDescent="0.25">
      <c r="A193" s="1">
        <v>192</v>
      </c>
      <c r="B193">
        <v>0.47548494882721071</v>
      </c>
      <c r="C193" s="1">
        <f t="shared" si="14"/>
        <v>106</v>
      </c>
      <c r="D193" s="1">
        <f t="shared" si="15"/>
        <v>395</v>
      </c>
      <c r="E193" s="1">
        <f t="shared" si="16"/>
        <v>395</v>
      </c>
      <c r="F193" s="1">
        <f t="shared" si="17"/>
        <v>5</v>
      </c>
      <c r="G193" s="1">
        <f t="shared" si="18"/>
        <v>2834.3</v>
      </c>
      <c r="L193">
        <v>309</v>
      </c>
      <c r="M193">
        <f t="shared" si="19"/>
        <v>4.9751243781094526E-3</v>
      </c>
      <c r="N193">
        <f t="shared" si="20"/>
        <v>4.9751243781097736E-2</v>
      </c>
    </row>
    <row r="194" spans="1:14" x14ac:dyDescent="0.25">
      <c r="A194" s="1">
        <v>193</v>
      </c>
      <c r="B194">
        <v>0.50705141226455464</v>
      </c>
      <c r="C194" s="1">
        <f t="shared" ref="C194:C257" si="21">MATCH(B194,$N$2:$N$202,-1)</f>
        <v>100</v>
      </c>
      <c r="D194" s="1">
        <f t="shared" ref="D194:D257" si="22">INDEX($L$2:$L$202,C194)</f>
        <v>401</v>
      </c>
      <c r="E194" s="1">
        <f t="shared" si="16"/>
        <v>400</v>
      </c>
      <c r="F194" s="1">
        <f t="shared" si="17"/>
        <v>0</v>
      </c>
      <c r="G194" s="1">
        <f t="shared" si="18"/>
        <v>2872</v>
      </c>
      <c r="L194">
        <v>308</v>
      </c>
      <c r="M194">
        <f t="shared" si="19"/>
        <v>4.9751243781094526E-3</v>
      </c>
      <c r="N194">
        <f t="shared" si="20"/>
        <v>4.4776119402988285E-2</v>
      </c>
    </row>
    <row r="195" spans="1:14" x14ac:dyDescent="0.25">
      <c r="A195" s="1">
        <v>194</v>
      </c>
      <c r="B195">
        <v>0.70455610338155583</v>
      </c>
      <c r="C195" s="1">
        <f t="shared" si="21"/>
        <v>60</v>
      </c>
      <c r="D195" s="1">
        <f t="shared" si="22"/>
        <v>441</v>
      </c>
      <c r="E195" s="1">
        <f t="shared" ref="E195:E258" si="23">MIN(D195,$I$2)</f>
        <v>400</v>
      </c>
      <c r="F195" s="1">
        <f t="shared" ref="F195:F258" si="24">$I$2-E195</f>
        <v>0</v>
      </c>
      <c r="G195" s="1">
        <f t="shared" ref="G195:G258" si="25">7.5*E195-$I$2/25*8-F195/25*1</f>
        <v>2872</v>
      </c>
      <c r="L195">
        <v>307</v>
      </c>
      <c r="M195">
        <f t="shared" ref="M195:M202" si="26">1/COUNT($L$2:$L$202)</f>
        <v>4.9751243781094526E-3</v>
      </c>
      <c r="N195">
        <f t="shared" si="20"/>
        <v>3.9800995024878834E-2</v>
      </c>
    </row>
    <row r="196" spans="1:14" x14ac:dyDescent="0.25">
      <c r="A196" s="1">
        <v>195</v>
      </c>
      <c r="B196">
        <v>0.9328627830230829</v>
      </c>
      <c r="C196" s="1">
        <f t="shared" si="21"/>
        <v>14</v>
      </c>
      <c r="D196" s="1">
        <f t="shared" si="22"/>
        <v>487</v>
      </c>
      <c r="E196" s="1">
        <f t="shared" si="23"/>
        <v>400</v>
      </c>
      <c r="F196" s="1">
        <f t="shared" si="24"/>
        <v>0</v>
      </c>
      <c r="G196" s="1">
        <f t="shared" si="25"/>
        <v>2872</v>
      </c>
      <c r="L196">
        <v>306</v>
      </c>
      <c r="M196">
        <f t="shared" si="26"/>
        <v>4.9751243781094526E-3</v>
      </c>
      <c r="N196">
        <f t="shared" ref="N196:N202" si="27">N195-M196</f>
        <v>3.4825870646769383E-2</v>
      </c>
    </row>
    <row r="197" spans="1:14" x14ac:dyDescent="0.25">
      <c r="A197" s="1">
        <v>196</v>
      </c>
      <c r="B197">
        <v>0.15055188307358525</v>
      </c>
      <c r="C197" s="1">
        <f t="shared" si="21"/>
        <v>171</v>
      </c>
      <c r="D197" s="1">
        <f t="shared" si="22"/>
        <v>330</v>
      </c>
      <c r="E197" s="1">
        <f t="shared" si="23"/>
        <v>330</v>
      </c>
      <c r="F197" s="1">
        <f t="shared" si="24"/>
        <v>70</v>
      </c>
      <c r="G197" s="1">
        <f t="shared" si="25"/>
        <v>2344.1999999999998</v>
      </c>
      <c r="L197">
        <v>305</v>
      </c>
      <c r="M197">
        <f t="shared" si="26"/>
        <v>4.9751243781094526E-3</v>
      </c>
      <c r="N197">
        <f t="shared" si="27"/>
        <v>2.9850746268659932E-2</v>
      </c>
    </row>
    <row r="198" spans="1:14" x14ac:dyDescent="0.25">
      <c r="A198" s="1">
        <v>197</v>
      </c>
      <c r="B198">
        <v>0.10517550067540093</v>
      </c>
      <c r="C198" s="1">
        <f t="shared" si="21"/>
        <v>180</v>
      </c>
      <c r="D198" s="1">
        <f t="shared" si="22"/>
        <v>321</v>
      </c>
      <c r="E198" s="1">
        <f t="shared" si="23"/>
        <v>321</v>
      </c>
      <c r="F198" s="1">
        <f t="shared" si="24"/>
        <v>79</v>
      </c>
      <c r="G198" s="1">
        <f t="shared" si="25"/>
        <v>2276.34</v>
      </c>
      <c r="L198">
        <v>304</v>
      </c>
      <c r="M198">
        <f t="shared" si="26"/>
        <v>4.9751243781094526E-3</v>
      </c>
      <c r="N198">
        <f t="shared" si="27"/>
        <v>2.4875621890550481E-2</v>
      </c>
    </row>
    <row r="199" spans="1:14" x14ac:dyDescent="0.25">
      <c r="A199" s="1">
        <v>198</v>
      </c>
      <c r="B199">
        <v>0.82843949134297612</v>
      </c>
      <c r="C199" s="1">
        <f t="shared" si="21"/>
        <v>35</v>
      </c>
      <c r="D199" s="1">
        <f t="shared" si="22"/>
        <v>466</v>
      </c>
      <c r="E199" s="1">
        <f t="shared" si="23"/>
        <v>400</v>
      </c>
      <c r="F199" s="1">
        <f t="shared" si="24"/>
        <v>0</v>
      </c>
      <c r="G199" s="1">
        <f t="shared" si="25"/>
        <v>2872</v>
      </c>
      <c r="L199">
        <v>303</v>
      </c>
      <c r="M199">
        <f t="shared" si="26"/>
        <v>4.9751243781094526E-3</v>
      </c>
      <c r="N199">
        <f t="shared" si="27"/>
        <v>1.990049751244103E-2</v>
      </c>
    </row>
    <row r="200" spans="1:14" x14ac:dyDescent="0.25">
      <c r="A200" s="1">
        <v>199</v>
      </c>
      <c r="B200">
        <v>0.46222573557252533</v>
      </c>
      <c r="C200" s="1">
        <f t="shared" si="21"/>
        <v>109</v>
      </c>
      <c r="D200" s="1">
        <f t="shared" si="22"/>
        <v>392</v>
      </c>
      <c r="E200" s="1">
        <f t="shared" si="23"/>
        <v>392</v>
      </c>
      <c r="F200" s="1">
        <f t="shared" si="24"/>
        <v>8</v>
      </c>
      <c r="G200" s="1">
        <f t="shared" si="25"/>
        <v>2811.68</v>
      </c>
      <c r="L200">
        <v>302</v>
      </c>
      <c r="M200">
        <f t="shared" si="26"/>
        <v>4.9751243781094526E-3</v>
      </c>
      <c r="N200">
        <f t="shared" si="27"/>
        <v>1.4925373134331578E-2</v>
      </c>
    </row>
    <row r="201" spans="1:14" x14ac:dyDescent="0.25">
      <c r="A201" s="1">
        <v>200</v>
      </c>
      <c r="B201">
        <v>0.32152894853378999</v>
      </c>
      <c r="C201" s="1">
        <f t="shared" si="21"/>
        <v>137</v>
      </c>
      <c r="D201" s="1">
        <f t="shared" si="22"/>
        <v>364</v>
      </c>
      <c r="E201" s="1">
        <f t="shared" si="23"/>
        <v>364</v>
      </c>
      <c r="F201" s="1">
        <f t="shared" si="24"/>
        <v>36</v>
      </c>
      <c r="G201" s="1">
        <f t="shared" si="25"/>
        <v>2600.56</v>
      </c>
      <c r="L201">
        <v>301</v>
      </c>
      <c r="M201">
        <f t="shared" si="26"/>
        <v>4.9751243781094526E-3</v>
      </c>
      <c r="N201">
        <f t="shared" si="27"/>
        <v>9.9502487562221249E-3</v>
      </c>
    </row>
    <row r="202" spans="1:14" x14ac:dyDescent="0.25">
      <c r="A202" s="1">
        <v>201</v>
      </c>
      <c r="B202">
        <v>1.0487671657170017E-3</v>
      </c>
      <c r="C202" s="1">
        <f t="shared" si="21"/>
        <v>201</v>
      </c>
      <c r="D202" s="1">
        <f t="shared" si="22"/>
        <v>300</v>
      </c>
      <c r="E202" s="1">
        <f t="shared" si="23"/>
        <v>300</v>
      </c>
      <c r="F202" s="1">
        <f t="shared" si="24"/>
        <v>100</v>
      </c>
      <c r="G202" s="1">
        <f t="shared" si="25"/>
        <v>2118</v>
      </c>
      <c r="L202">
        <v>300</v>
      </c>
      <c r="M202">
        <f t="shared" si="26"/>
        <v>4.9751243781094526E-3</v>
      </c>
      <c r="N202">
        <f t="shared" si="27"/>
        <v>4.9751243781126723E-3</v>
      </c>
    </row>
    <row r="203" spans="1:14" x14ac:dyDescent="0.25">
      <c r="A203" s="1">
        <v>202</v>
      </c>
      <c r="B203">
        <v>0.43387123578298414</v>
      </c>
      <c r="C203" s="1">
        <f t="shared" si="21"/>
        <v>114</v>
      </c>
      <c r="D203" s="1">
        <f t="shared" si="22"/>
        <v>387</v>
      </c>
      <c r="E203" s="1">
        <f t="shared" si="23"/>
        <v>387</v>
      </c>
      <c r="F203" s="1">
        <f t="shared" si="24"/>
        <v>13</v>
      </c>
      <c r="G203" s="1">
        <f t="shared" si="25"/>
        <v>2773.98</v>
      </c>
    </row>
    <row r="204" spans="1:14" x14ac:dyDescent="0.25">
      <c r="A204" s="1">
        <v>203</v>
      </c>
      <c r="B204">
        <v>0.90160688656105548</v>
      </c>
      <c r="C204" s="1">
        <f t="shared" si="21"/>
        <v>20</v>
      </c>
      <c r="D204" s="1">
        <f t="shared" si="22"/>
        <v>481</v>
      </c>
      <c r="E204" s="1">
        <f t="shared" si="23"/>
        <v>400</v>
      </c>
      <c r="F204" s="1">
        <f t="shared" si="24"/>
        <v>0</v>
      </c>
      <c r="G204" s="1">
        <f t="shared" si="25"/>
        <v>2872</v>
      </c>
    </row>
    <row r="205" spans="1:14" x14ac:dyDescent="0.25">
      <c r="A205" s="1">
        <v>204</v>
      </c>
      <c r="B205">
        <v>0.32312979386219276</v>
      </c>
      <c r="C205" s="1">
        <f t="shared" si="21"/>
        <v>137</v>
      </c>
      <c r="D205" s="1">
        <f t="shared" si="22"/>
        <v>364</v>
      </c>
      <c r="E205" s="1">
        <f t="shared" si="23"/>
        <v>364</v>
      </c>
      <c r="F205" s="1">
        <f t="shared" si="24"/>
        <v>36</v>
      </c>
      <c r="G205" s="1">
        <f t="shared" si="25"/>
        <v>2600.56</v>
      </c>
    </row>
    <row r="206" spans="1:14" x14ac:dyDescent="0.25">
      <c r="A206" s="1">
        <v>205</v>
      </c>
      <c r="B206">
        <v>0.90621904622963056</v>
      </c>
      <c r="C206" s="1">
        <f t="shared" si="21"/>
        <v>19</v>
      </c>
      <c r="D206" s="1">
        <f t="shared" si="22"/>
        <v>482</v>
      </c>
      <c r="E206" s="1">
        <f t="shared" si="23"/>
        <v>400</v>
      </c>
      <c r="F206" s="1">
        <f t="shared" si="24"/>
        <v>0</v>
      </c>
      <c r="G206" s="1">
        <f t="shared" si="25"/>
        <v>2872</v>
      </c>
    </row>
    <row r="207" spans="1:14" x14ac:dyDescent="0.25">
      <c r="A207" s="1">
        <v>206</v>
      </c>
      <c r="B207">
        <v>0.39598344961401633</v>
      </c>
      <c r="C207" s="1">
        <f t="shared" si="21"/>
        <v>122</v>
      </c>
      <c r="D207" s="1">
        <f t="shared" si="22"/>
        <v>379</v>
      </c>
      <c r="E207" s="1">
        <f t="shared" si="23"/>
        <v>379</v>
      </c>
      <c r="F207" s="1">
        <f t="shared" si="24"/>
        <v>21</v>
      </c>
      <c r="G207" s="1">
        <f t="shared" si="25"/>
        <v>2713.66</v>
      </c>
    </row>
    <row r="208" spans="1:14" x14ac:dyDescent="0.25">
      <c r="A208" s="1">
        <v>207</v>
      </c>
      <c r="B208">
        <v>0.40920918309270715</v>
      </c>
      <c r="C208" s="1">
        <f t="shared" si="21"/>
        <v>119</v>
      </c>
      <c r="D208" s="1">
        <f t="shared" si="22"/>
        <v>382</v>
      </c>
      <c r="E208" s="1">
        <f t="shared" si="23"/>
        <v>382</v>
      </c>
      <c r="F208" s="1">
        <f t="shared" si="24"/>
        <v>18</v>
      </c>
      <c r="G208" s="1">
        <f t="shared" si="25"/>
        <v>2736.28</v>
      </c>
    </row>
    <row r="209" spans="1:7" x14ac:dyDescent="0.25">
      <c r="A209" s="1">
        <v>208</v>
      </c>
      <c r="B209">
        <v>0.14291795734783375</v>
      </c>
      <c r="C209" s="1">
        <f t="shared" si="21"/>
        <v>173</v>
      </c>
      <c r="D209" s="1">
        <f t="shared" si="22"/>
        <v>328</v>
      </c>
      <c r="E209" s="1">
        <f t="shared" si="23"/>
        <v>328</v>
      </c>
      <c r="F209" s="1">
        <f t="shared" si="24"/>
        <v>72</v>
      </c>
      <c r="G209" s="1">
        <f t="shared" si="25"/>
        <v>2329.12</v>
      </c>
    </row>
    <row r="210" spans="1:7" x14ac:dyDescent="0.25">
      <c r="A210" s="1">
        <v>209</v>
      </c>
      <c r="B210">
        <v>0.76547668821682757</v>
      </c>
      <c r="C210" s="1">
        <f t="shared" si="21"/>
        <v>48</v>
      </c>
      <c r="D210" s="1">
        <f t="shared" si="22"/>
        <v>453</v>
      </c>
      <c r="E210" s="1">
        <f t="shared" si="23"/>
        <v>400</v>
      </c>
      <c r="F210" s="1">
        <f t="shared" si="24"/>
        <v>0</v>
      </c>
      <c r="G210" s="1">
        <f t="shared" si="25"/>
        <v>2872</v>
      </c>
    </row>
    <row r="211" spans="1:7" x14ac:dyDescent="0.25">
      <c r="A211" s="1">
        <v>210</v>
      </c>
      <c r="B211">
        <v>4.6726282048530798E-2</v>
      </c>
      <c r="C211" s="1">
        <f t="shared" si="21"/>
        <v>192</v>
      </c>
      <c r="D211" s="1">
        <f t="shared" si="22"/>
        <v>309</v>
      </c>
      <c r="E211" s="1">
        <f t="shared" si="23"/>
        <v>309</v>
      </c>
      <c r="F211" s="1">
        <f t="shared" si="24"/>
        <v>91</v>
      </c>
      <c r="G211" s="1">
        <f t="shared" si="25"/>
        <v>2185.86</v>
      </c>
    </row>
    <row r="212" spans="1:7" x14ac:dyDescent="0.25">
      <c r="A212" s="1">
        <v>211</v>
      </c>
      <c r="B212">
        <v>0.48509825830378261</v>
      </c>
      <c r="C212" s="1">
        <f t="shared" si="21"/>
        <v>104</v>
      </c>
      <c r="D212" s="1">
        <f t="shared" si="22"/>
        <v>397</v>
      </c>
      <c r="E212" s="1">
        <f t="shared" si="23"/>
        <v>397</v>
      </c>
      <c r="F212" s="1">
        <f t="shared" si="24"/>
        <v>3</v>
      </c>
      <c r="G212" s="1">
        <f t="shared" si="25"/>
        <v>2849.38</v>
      </c>
    </row>
    <row r="213" spans="1:7" x14ac:dyDescent="0.25">
      <c r="A213" s="1">
        <v>212</v>
      </c>
      <c r="B213">
        <v>0.70046711709336773</v>
      </c>
      <c r="C213" s="1">
        <f t="shared" si="21"/>
        <v>61</v>
      </c>
      <c r="D213" s="1">
        <f t="shared" si="22"/>
        <v>440</v>
      </c>
      <c r="E213" s="1">
        <f t="shared" si="23"/>
        <v>400</v>
      </c>
      <c r="F213" s="1">
        <f t="shared" si="24"/>
        <v>0</v>
      </c>
      <c r="G213" s="1">
        <f t="shared" si="25"/>
        <v>2872</v>
      </c>
    </row>
    <row r="214" spans="1:7" x14ac:dyDescent="0.25">
      <c r="A214" s="1">
        <v>213</v>
      </c>
      <c r="B214">
        <v>0.61562852453195127</v>
      </c>
      <c r="C214" s="1">
        <f t="shared" si="21"/>
        <v>78</v>
      </c>
      <c r="D214" s="1">
        <f t="shared" si="22"/>
        <v>423</v>
      </c>
      <c r="E214" s="1">
        <f t="shared" si="23"/>
        <v>400</v>
      </c>
      <c r="F214" s="1">
        <f t="shared" si="24"/>
        <v>0</v>
      </c>
      <c r="G214" s="1">
        <f t="shared" si="25"/>
        <v>2872</v>
      </c>
    </row>
    <row r="215" spans="1:7" x14ac:dyDescent="0.25">
      <c r="A215" s="1">
        <v>214</v>
      </c>
      <c r="B215">
        <v>0.68599428193465983</v>
      </c>
      <c r="C215" s="1">
        <f t="shared" si="21"/>
        <v>64</v>
      </c>
      <c r="D215" s="1">
        <f t="shared" si="22"/>
        <v>437</v>
      </c>
      <c r="E215" s="1">
        <f t="shared" si="23"/>
        <v>400</v>
      </c>
      <c r="F215" s="1">
        <f t="shared" si="24"/>
        <v>0</v>
      </c>
      <c r="G215" s="1">
        <f t="shared" si="25"/>
        <v>2872</v>
      </c>
    </row>
    <row r="216" spans="1:7" x14ac:dyDescent="0.25">
      <c r="A216" s="1">
        <v>215</v>
      </c>
      <c r="B216">
        <v>0.18874401359562698</v>
      </c>
      <c r="C216" s="1">
        <f t="shared" si="21"/>
        <v>164</v>
      </c>
      <c r="D216" s="1">
        <f t="shared" si="22"/>
        <v>337</v>
      </c>
      <c r="E216" s="1">
        <f t="shared" si="23"/>
        <v>337</v>
      </c>
      <c r="F216" s="1">
        <f t="shared" si="24"/>
        <v>63</v>
      </c>
      <c r="G216" s="1">
        <f t="shared" si="25"/>
        <v>2396.98</v>
      </c>
    </row>
    <row r="217" spans="1:7" x14ac:dyDescent="0.25">
      <c r="A217" s="1">
        <v>216</v>
      </c>
      <c r="B217">
        <v>0.87306256857411757</v>
      </c>
      <c r="C217" s="1">
        <f t="shared" si="21"/>
        <v>26</v>
      </c>
      <c r="D217" s="1">
        <f t="shared" si="22"/>
        <v>475</v>
      </c>
      <c r="E217" s="1">
        <f t="shared" si="23"/>
        <v>400</v>
      </c>
      <c r="F217" s="1">
        <f t="shared" si="24"/>
        <v>0</v>
      </c>
      <c r="G217" s="1">
        <f t="shared" si="25"/>
        <v>2872</v>
      </c>
    </row>
    <row r="218" spans="1:7" x14ac:dyDescent="0.25">
      <c r="A218" s="1">
        <v>217</v>
      </c>
      <c r="B218">
        <v>0.62563238121868425</v>
      </c>
      <c r="C218" s="1">
        <f t="shared" si="21"/>
        <v>76</v>
      </c>
      <c r="D218" s="1">
        <f t="shared" si="22"/>
        <v>425</v>
      </c>
      <c r="E218" s="1">
        <f t="shared" si="23"/>
        <v>400</v>
      </c>
      <c r="F218" s="1">
        <f t="shared" si="24"/>
        <v>0</v>
      </c>
      <c r="G218" s="1">
        <f t="shared" si="25"/>
        <v>2872</v>
      </c>
    </row>
    <row r="219" spans="1:7" x14ac:dyDescent="0.25">
      <c r="A219" s="1">
        <v>218</v>
      </c>
      <c r="B219">
        <v>0.51976615593856301</v>
      </c>
      <c r="C219" s="1">
        <f t="shared" si="21"/>
        <v>97</v>
      </c>
      <c r="D219" s="1">
        <f t="shared" si="22"/>
        <v>404</v>
      </c>
      <c r="E219" s="1">
        <f t="shared" si="23"/>
        <v>400</v>
      </c>
      <c r="F219" s="1">
        <f t="shared" si="24"/>
        <v>0</v>
      </c>
      <c r="G219" s="1">
        <f t="shared" si="25"/>
        <v>2872</v>
      </c>
    </row>
    <row r="220" spans="1:7" x14ac:dyDescent="0.25">
      <c r="A220" s="1">
        <v>219</v>
      </c>
      <c r="B220">
        <v>0.82927102049594092</v>
      </c>
      <c r="C220" s="1">
        <f t="shared" si="21"/>
        <v>35</v>
      </c>
      <c r="D220" s="1">
        <f t="shared" si="22"/>
        <v>466</v>
      </c>
      <c r="E220" s="1">
        <f t="shared" si="23"/>
        <v>400</v>
      </c>
      <c r="F220" s="1">
        <f t="shared" si="24"/>
        <v>0</v>
      </c>
      <c r="G220" s="1">
        <f t="shared" si="25"/>
        <v>2872</v>
      </c>
    </row>
    <row r="221" spans="1:7" x14ac:dyDescent="0.25">
      <c r="A221" s="1">
        <v>220</v>
      </c>
      <c r="B221">
        <v>0.27304287455276754</v>
      </c>
      <c r="C221" s="1">
        <f t="shared" si="21"/>
        <v>147</v>
      </c>
      <c r="D221" s="1">
        <f t="shared" si="22"/>
        <v>354</v>
      </c>
      <c r="E221" s="1">
        <f t="shared" si="23"/>
        <v>354</v>
      </c>
      <c r="F221" s="1">
        <f t="shared" si="24"/>
        <v>46</v>
      </c>
      <c r="G221" s="1">
        <f t="shared" si="25"/>
        <v>2525.16</v>
      </c>
    </row>
    <row r="222" spans="1:7" x14ac:dyDescent="0.25">
      <c r="A222" s="1">
        <v>221</v>
      </c>
      <c r="B222">
        <v>0.83324981051357083</v>
      </c>
      <c r="C222" s="1">
        <f t="shared" si="21"/>
        <v>34</v>
      </c>
      <c r="D222" s="1">
        <f t="shared" si="22"/>
        <v>467</v>
      </c>
      <c r="E222" s="1">
        <f t="shared" si="23"/>
        <v>400</v>
      </c>
      <c r="F222" s="1">
        <f t="shared" si="24"/>
        <v>0</v>
      </c>
      <c r="G222" s="1">
        <f t="shared" si="25"/>
        <v>2872</v>
      </c>
    </row>
    <row r="223" spans="1:7" x14ac:dyDescent="0.25">
      <c r="A223" s="1">
        <v>222</v>
      </c>
      <c r="B223">
        <v>0.49950196509074607</v>
      </c>
      <c r="C223" s="1">
        <f t="shared" si="21"/>
        <v>101</v>
      </c>
      <c r="D223" s="1">
        <f t="shared" si="22"/>
        <v>400</v>
      </c>
      <c r="E223" s="1">
        <f t="shared" si="23"/>
        <v>400</v>
      </c>
      <c r="F223" s="1">
        <f t="shared" si="24"/>
        <v>0</v>
      </c>
      <c r="G223" s="1">
        <f t="shared" si="25"/>
        <v>2872</v>
      </c>
    </row>
    <row r="224" spans="1:7" x14ac:dyDescent="0.25">
      <c r="A224" s="1">
        <v>223</v>
      </c>
      <c r="B224">
        <v>0.68710669867568019</v>
      </c>
      <c r="C224" s="1">
        <f t="shared" si="21"/>
        <v>63</v>
      </c>
      <c r="D224" s="1">
        <f t="shared" si="22"/>
        <v>438</v>
      </c>
      <c r="E224" s="1">
        <f t="shared" si="23"/>
        <v>400</v>
      </c>
      <c r="F224" s="1">
        <f t="shared" si="24"/>
        <v>0</v>
      </c>
      <c r="G224" s="1">
        <f t="shared" si="25"/>
        <v>2872</v>
      </c>
    </row>
    <row r="225" spans="1:7" x14ac:dyDescent="0.25">
      <c r="A225" s="1">
        <v>224</v>
      </c>
      <c r="B225">
        <v>0.68921407634417486</v>
      </c>
      <c r="C225" s="1">
        <f t="shared" si="21"/>
        <v>63</v>
      </c>
      <c r="D225" s="1">
        <f t="shared" si="22"/>
        <v>438</v>
      </c>
      <c r="E225" s="1">
        <f t="shared" si="23"/>
        <v>400</v>
      </c>
      <c r="F225" s="1">
        <f t="shared" si="24"/>
        <v>0</v>
      </c>
      <c r="G225" s="1">
        <f t="shared" si="25"/>
        <v>2872</v>
      </c>
    </row>
    <row r="226" spans="1:7" x14ac:dyDescent="0.25">
      <c r="A226" s="1">
        <v>225</v>
      </c>
      <c r="B226">
        <v>0.37757455302825393</v>
      </c>
      <c r="C226" s="1">
        <f t="shared" si="21"/>
        <v>126</v>
      </c>
      <c r="D226" s="1">
        <f t="shared" si="22"/>
        <v>375</v>
      </c>
      <c r="E226" s="1">
        <f t="shared" si="23"/>
        <v>375</v>
      </c>
      <c r="F226" s="1">
        <f t="shared" si="24"/>
        <v>25</v>
      </c>
      <c r="G226" s="1">
        <f t="shared" si="25"/>
        <v>2683.5</v>
      </c>
    </row>
    <row r="227" spans="1:7" x14ac:dyDescent="0.25">
      <c r="A227" s="1">
        <v>226</v>
      </c>
      <c r="B227">
        <v>0.260575086446314</v>
      </c>
      <c r="C227" s="1">
        <f t="shared" si="21"/>
        <v>149</v>
      </c>
      <c r="D227" s="1">
        <f t="shared" si="22"/>
        <v>352</v>
      </c>
      <c r="E227" s="1">
        <f t="shared" si="23"/>
        <v>352</v>
      </c>
      <c r="F227" s="1">
        <f t="shared" si="24"/>
        <v>48</v>
      </c>
      <c r="G227" s="1">
        <f t="shared" si="25"/>
        <v>2510.08</v>
      </c>
    </row>
    <row r="228" spans="1:7" x14ac:dyDescent="0.25">
      <c r="A228" s="1">
        <v>227</v>
      </c>
      <c r="B228">
        <v>6.5377385332459292E-2</v>
      </c>
      <c r="C228" s="1">
        <f t="shared" si="21"/>
        <v>188</v>
      </c>
      <c r="D228" s="1">
        <f t="shared" si="22"/>
        <v>313</v>
      </c>
      <c r="E228" s="1">
        <f t="shared" si="23"/>
        <v>313</v>
      </c>
      <c r="F228" s="1">
        <f t="shared" si="24"/>
        <v>87</v>
      </c>
      <c r="G228" s="1">
        <f t="shared" si="25"/>
        <v>2216.02</v>
      </c>
    </row>
    <row r="229" spans="1:7" x14ac:dyDescent="0.25">
      <c r="A229" s="1">
        <v>228</v>
      </c>
      <c r="B229">
        <v>0.86147763217674833</v>
      </c>
      <c r="C229" s="1">
        <f t="shared" si="21"/>
        <v>28</v>
      </c>
      <c r="D229" s="1">
        <f t="shared" si="22"/>
        <v>473</v>
      </c>
      <c r="E229" s="1">
        <f t="shared" si="23"/>
        <v>400</v>
      </c>
      <c r="F229" s="1">
        <f t="shared" si="24"/>
        <v>0</v>
      </c>
      <c r="G229" s="1">
        <f t="shared" si="25"/>
        <v>2872</v>
      </c>
    </row>
    <row r="230" spans="1:7" x14ac:dyDescent="0.25">
      <c r="A230" s="1">
        <v>229</v>
      </c>
      <c r="B230">
        <v>0.30769235360053726</v>
      </c>
      <c r="C230" s="1">
        <f t="shared" si="21"/>
        <v>140</v>
      </c>
      <c r="D230" s="1">
        <f t="shared" si="22"/>
        <v>361</v>
      </c>
      <c r="E230" s="1">
        <f t="shared" si="23"/>
        <v>361</v>
      </c>
      <c r="F230" s="1">
        <f t="shared" si="24"/>
        <v>39</v>
      </c>
      <c r="G230" s="1">
        <f t="shared" si="25"/>
        <v>2577.94</v>
      </c>
    </row>
    <row r="231" spans="1:7" x14ac:dyDescent="0.25">
      <c r="A231" s="1">
        <v>230</v>
      </c>
      <c r="B231">
        <v>0.99952523904093749</v>
      </c>
      <c r="C231" s="1">
        <f t="shared" si="21"/>
        <v>1</v>
      </c>
      <c r="D231" s="1">
        <f t="shared" si="22"/>
        <v>500</v>
      </c>
      <c r="E231" s="1">
        <f t="shared" si="23"/>
        <v>400</v>
      </c>
      <c r="F231" s="1">
        <f t="shared" si="24"/>
        <v>0</v>
      </c>
      <c r="G231" s="1">
        <f t="shared" si="25"/>
        <v>2872</v>
      </c>
    </row>
    <row r="232" spans="1:7" x14ac:dyDescent="0.25">
      <c r="A232" s="1">
        <v>231</v>
      </c>
      <c r="B232">
        <v>0.77233923605439259</v>
      </c>
      <c r="C232" s="1">
        <f t="shared" si="21"/>
        <v>46</v>
      </c>
      <c r="D232" s="1">
        <f t="shared" si="22"/>
        <v>455</v>
      </c>
      <c r="E232" s="1">
        <f t="shared" si="23"/>
        <v>400</v>
      </c>
      <c r="F232" s="1">
        <f t="shared" si="24"/>
        <v>0</v>
      </c>
      <c r="G232" s="1">
        <f t="shared" si="25"/>
        <v>2872</v>
      </c>
    </row>
    <row r="233" spans="1:7" x14ac:dyDescent="0.25">
      <c r="A233" s="1">
        <v>232</v>
      </c>
      <c r="B233">
        <v>0.34654550777762549</v>
      </c>
      <c r="C233" s="1">
        <f t="shared" si="21"/>
        <v>132</v>
      </c>
      <c r="D233" s="1">
        <f t="shared" si="22"/>
        <v>369</v>
      </c>
      <c r="E233" s="1">
        <f t="shared" si="23"/>
        <v>369</v>
      </c>
      <c r="F233" s="1">
        <f t="shared" si="24"/>
        <v>31</v>
      </c>
      <c r="G233" s="1">
        <f t="shared" si="25"/>
        <v>2638.26</v>
      </c>
    </row>
    <row r="234" spans="1:7" x14ac:dyDescent="0.25">
      <c r="A234" s="1">
        <v>233</v>
      </c>
      <c r="B234">
        <v>0.54541680968588568</v>
      </c>
      <c r="C234" s="1">
        <f t="shared" si="21"/>
        <v>92</v>
      </c>
      <c r="D234" s="1">
        <f t="shared" si="22"/>
        <v>409</v>
      </c>
      <c r="E234" s="1">
        <f t="shared" si="23"/>
        <v>400</v>
      </c>
      <c r="F234" s="1">
        <f t="shared" si="24"/>
        <v>0</v>
      </c>
      <c r="G234" s="1">
        <f t="shared" si="25"/>
        <v>2872</v>
      </c>
    </row>
    <row r="235" spans="1:7" x14ac:dyDescent="0.25">
      <c r="A235" s="1">
        <v>234</v>
      </c>
      <c r="B235">
        <v>0.39522017496248951</v>
      </c>
      <c r="C235" s="1">
        <f t="shared" si="21"/>
        <v>122</v>
      </c>
      <c r="D235" s="1">
        <f t="shared" si="22"/>
        <v>379</v>
      </c>
      <c r="E235" s="1">
        <f t="shared" si="23"/>
        <v>379</v>
      </c>
      <c r="F235" s="1">
        <f t="shared" si="24"/>
        <v>21</v>
      </c>
      <c r="G235" s="1">
        <f t="shared" si="25"/>
        <v>2713.66</v>
      </c>
    </row>
    <row r="236" spans="1:7" x14ac:dyDescent="0.25">
      <c r="A236" s="1">
        <v>235</v>
      </c>
      <c r="B236">
        <v>0.2974999355412421</v>
      </c>
      <c r="C236" s="1">
        <f t="shared" si="21"/>
        <v>142</v>
      </c>
      <c r="D236" s="1">
        <f t="shared" si="22"/>
        <v>359</v>
      </c>
      <c r="E236" s="1">
        <f t="shared" si="23"/>
        <v>359</v>
      </c>
      <c r="F236" s="1">
        <f t="shared" si="24"/>
        <v>41</v>
      </c>
      <c r="G236" s="1">
        <f t="shared" si="25"/>
        <v>2562.86</v>
      </c>
    </row>
    <row r="237" spans="1:7" x14ac:dyDescent="0.25">
      <c r="A237" s="1">
        <v>236</v>
      </c>
      <c r="B237">
        <v>0.8551199117985</v>
      </c>
      <c r="C237" s="1">
        <f t="shared" si="21"/>
        <v>30</v>
      </c>
      <c r="D237" s="1">
        <f t="shared" si="22"/>
        <v>471</v>
      </c>
      <c r="E237" s="1">
        <f t="shared" si="23"/>
        <v>400</v>
      </c>
      <c r="F237" s="1">
        <f t="shared" si="24"/>
        <v>0</v>
      </c>
      <c r="G237" s="1">
        <f t="shared" si="25"/>
        <v>2872</v>
      </c>
    </row>
    <row r="238" spans="1:7" x14ac:dyDescent="0.25">
      <c r="A238" s="1">
        <v>237</v>
      </c>
      <c r="B238">
        <v>0.1326097639689382</v>
      </c>
      <c r="C238" s="1">
        <f t="shared" si="21"/>
        <v>175</v>
      </c>
      <c r="D238" s="1">
        <f t="shared" si="22"/>
        <v>326</v>
      </c>
      <c r="E238" s="1">
        <f t="shared" si="23"/>
        <v>326</v>
      </c>
      <c r="F238" s="1">
        <f t="shared" si="24"/>
        <v>74</v>
      </c>
      <c r="G238" s="1">
        <f t="shared" si="25"/>
        <v>2314.04</v>
      </c>
    </row>
    <row r="239" spans="1:7" x14ac:dyDescent="0.25">
      <c r="A239" s="1">
        <v>238</v>
      </c>
      <c r="B239">
        <v>0.90253050209138663</v>
      </c>
      <c r="C239" s="1">
        <f t="shared" si="21"/>
        <v>20</v>
      </c>
      <c r="D239" s="1">
        <f t="shared" si="22"/>
        <v>481</v>
      </c>
      <c r="E239" s="1">
        <f t="shared" si="23"/>
        <v>400</v>
      </c>
      <c r="F239" s="1">
        <f t="shared" si="24"/>
        <v>0</v>
      </c>
      <c r="G239" s="1">
        <f t="shared" si="25"/>
        <v>2872</v>
      </c>
    </row>
    <row r="240" spans="1:7" x14ac:dyDescent="0.25">
      <c r="A240" s="1">
        <v>239</v>
      </c>
      <c r="B240">
        <v>0.29667255971308382</v>
      </c>
      <c r="C240" s="1">
        <f t="shared" si="21"/>
        <v>142</v>
      </c>
      <c r="D240" s="1">
        <f t="shared" si="22"/>
        <v>359</v>
      </c>
      <c r="E240" s="1">
        <f t="shared" si="23"/>
        <v>359</v>
      </c>
      <c r="F240" s="1">
        <f t="shared" si="24"/>
        <v>41</v>
      </c>
      <c r="G240" s="1">
        <f t="shared" si="25"/>
        <v>2562.86</v>
      </c>
    </row>
    <row r="241" spans="1:7" x14ac:dyDescent="0.25">
      <c r="A241" s="1">
        <v>240</v>
      </c>
      <c r="B241">
        <v>0.86886147783699907</v>
      </c>
      <c r="C241" s="1">
        <f t="shared" si="21"/>
        <v>27</v>
      </c>
      <c r="D241" s="1">
        <f t="shared" si="22"/>
        <v>474</v>
      </c>
      <c r="E241" s="1">
        <f t="shared" si="23"/>
        <v>400</v>
      </c>
      <c r="F241" s="1">
        <f t="shared" si="24"/>
        <v>0</v>
      </c>
      <c r="G241" s="1">
        <f t="shared" si="25"/>
        <v>2872</v>
      </c>
    </row>
    <row r="242" spans="1:7" x14ac:dyDescent="0.25">
      <c r="A242" s="1">
        <v>241</v>
      </c>
      <c r="B242">
        <v>8.0580616670901217E-2</v>
      </c>
      <c r="C242" s="1">
        <f t="shared" si="21"/>
        <v>185</v>
      </c>
      <c r="D242" s="1">
        <f t="shared" si="22"/>
        <v>316</v>
      </c>
      <c r="E242" s="1">
        <f t="shared" si="23"/>
        <v>316</v>
      </c>
      <c r="F242" s="1">
        <f t="shared" si="24"/>
        <v>84</v>
      </c>
      <c r="G242" s="1">
        <f t="shared" si="25"/>
        <v>2238.64</v>
      </c>
    </row>
    <row r="243" spans="1:7" x14ac:dyDescent="0.25">
      <c r="A243" s="1">
        <v>242</v>
      </c>
      <c r="B243">
        <v>0.47727205657703231</v>
      </c>
      <c r="C243" s="1">
        <f t="shared" si="21"/>
        <v>106</v>
      </c>
      <c r="D243" s="1">
        <f t="shared" si="22"/>
        <v>395</v>
      </c>
      <c r="E243" s="1">
        <f t="shared" si="23"/>
        <v>395</v>
      </c>
      <c r="F243" s="1">
        <f t="shared" si="24"/>
        <v>5</v>
      </c>
      <c r="G243" s="1">
        <f t="shared" si="25"/>
        <v>2834.3</v>
      </c>
    </row>
    <row r="244" spans="1:7" x14ac:dyDescent="0.25">
      <c r="A244" s="1">
        <v>243</v>
      </c>
      <c r="B244">
        <v>0.18958912391035121</v>
      </c>
      <c r="C244" s="1">
        <f t="shared" si="21"/>
        <v>163</v>
      </c>
      <c r="D244" s="1">
        <f t="shared" si="22"/>
        <v>338</v>
      </c>
      <c r="E244" s="1">
        <f t="shared" si="23"/>
        <v>338</v>
      </c>
      <c r="F244" s="1">
        <f t="shared" si="24"/>
        <v>62</v>
      </c>
      <c r="G244" s="1">
        <f t="shared" si="25"/>
        <v>2404.52</v>
      </c>
    </row>
    <row r="245" spans="1:7" x14ac:dyDescent="0.25">
      <c r="A245" s="1">
        <v>244</v>
      </c>
      <c r="B245">
        <v>2.0259952540670589E-2</v>
      </c>
      <c r="C245" s="1">
        <f t="shared" si="21"/>
        <v>197</v>
      </c>
      <c r="D245" s="1">
        <f t="shared" si="22"/>
        <v>304</v>
      </c>
      <c r="E245" s="1">
        <f t="shared" si="23"/>
        <v>304</v>
      </c>
      <c r="F245" s="1">
        <f t="shared" si="24"/>
        <v>96</v>
      </c>
      <c r="G245" s="1">
        <f t="shared" si="25"/>
        <v>2148.16</v>
      </c>
    </row>
    <row r="246" spans="1:7" x14ac:dyDescent="0.25">
      <c r="A246" s="1">
        <v>245</v>
      </c>
      <c r="B246">
        <v>0.97133488629246612</v>
      </c>
      <c r="C246" s="1">
        <f t="shared" si="21"/>
        <v>6</v>
      </c>
      <c r="D246" s="1">
        <f t="shared" si="22"/>
        <v>495</v>
      </c>
      <c r="E246" s="1">
        <f t="shared" si="23"/>
        <v>400</v>
      </c>
      <c r="F246" s="1">
        <f t="shared" si="24"/>
        <v>0</v>
      </c>
      <c r="G246" s="1">
        <f t="shared" si="25"/>
        <v>2872</v>
      </c>
    </row>
    <row r="247" spans="1:7" x14ac:dyDescent="0.25">
      <c r="A247" s="1">
        <v>246</v>
      </c>
      <c r="B247">
        <v>0.32809109086306187</v>
      </c>
      <c r="C247" s="1">
        <f t="shared" si="21"/>
        <v>136</v>
      </c>
      <c r="D247" s="1">
        <f t="shared" si="22"/>
        <v>365</v>
      </c>
      <c r="E247" s="1">
        <f t="shared" si="23"/>
        <v>365</v>
      </c>
      <c r="F247" s="1">
        <f t="shared" si="24"/>
        <v>35</v>
      </c>
      <c r="G247" s="1">
        <f t="shared" si="25"/>
        <v>2608.1</v>
      </c>
    </row>
    <row r="248" spans="1:7" x14ac:dyDescent="0.25">
      <c r="A248" s="1">
        <v>247</v>
      </c>
      <c r="B248">
        <v>0.96496589136688349</v>
      </c>
      <c r="C248" s="1">
        <f t="shared" si="21"/>
        <v>8</v>
      </c>
      <c r="D248" s="1">
        <f t="shared" si="22"/>
        <v>493</v>
      </c>
      <c r="E248" s="1">
        <f t="shared" si="23"/>
        <v>400</v>
      </c>
      <c r="F248" s="1">
        <f t="shared" si="24"/>
        <v>0</v>
      </c>
      <c r="G248" s="1">
        <f t="shared" si="25"/>
        <v>2872</v>
      </c>
    </row>
    <row r="249" spans="1:7" x14ac:dyDescent="0.25">
      <c r="A249" s="1">
        <v>248</v>
      </c>
      <c r="B249">
        <v>3.3868872335438671E-2</v>
      </c>
      <c r="C249" s="1">
        <f t="shared" si="21"/>
        <v>195</v>
      </c>
      <c r="D249" s="1">
        <f t="shared" si="22"/>
        <v>306</v>
      </c>
      <c r="E249" s="1">
        <f t="shared" si="23"/>
        <v>306</v>
      </c>
      <c r="F249" s="1">
        <f t="shared" si="24"/>
        <v>94</v>
      </c>
      <c r="G249" s="1">
        <f t="shared" si="25"/>
        <v>2163.2399999999998</v>
      </c>
    </row>
    <row r="250" spans="1:7" x14ac:dyDescent="0.25">
      <c r="A250" s="1">
        <v>249</v>
      </c>
      <c r="B250">
        <v>4.6849178027027927E-2</v>
      </c>
      <c r="C250" s="1">
        <f t="shared" si="21"/>
        <v>192</v>
      </c>
      <c r="D250" s="1">
        <f t="shared" si="22"/>
        <v>309</v>
      </c>
      <c r="E250" s="1">
        <f t="shared" si="23"/>
        <v>309</v>
      </c>
      <c r="F250" s="1">
        <f t="shared" si="24"/>
        <v>91</v>
      </c>
      <c r="G250" s="1">
        <f t="shared" si="25"/>
        <v>2185.86</v>
      </c>
    </row>
    <row r="251" spans="1:7" x14ac:dyDescent="0.25">
      <c r="A251" s="1">
        <v>250</v>
      </c>
      <c r="B251">
        <v>0.16121321589483029</v>
      </c>
      <c r="C251" s="1">
        <f t="shared" si="21"/>
        <v>169</v>
      </c>
      <c r="D251" s="1">
        <f t="shared" si="22"/>
        <v>332</v>
      </c>
      <c r="E251" s="1">
        <f t="shared" si="23"/>
        <v>332</v>
      </c>
      <c r="F251" s="1">
        <f t="shared" si="24"/>
        <v>68</v>
      </c>
      <c r="G251" s="1">
        <f t="shared" si="25"/>
        <v>2359.2800000000002</v>
      </c>
    </row>
    <row r="252" spans="1:7" x14ac:dyDescent="0.25">
      <c r="A252" s="1">
        <v>251</v>
      </c>
      <c r="B252">
        <v>0.14174960797581448</v>
      </c>
      <c r="C252" s="1">
        <f t="shared" si="21"/>
        <v>173</v>
      </c>
      <c r="D252" s="1">
        <f t="shared" si="22"/>
        <v>328</v>
      </c>
      <c r="E252" s="1">
        <f t="shared" si="23"/>
        <v>328</v>
      </c>
      <c r="F252" s="1">
        <f t="shared" si="24"/>
        <v>72</v>
      </c>
      <c r="G252" s="1">
        <f t="shared" si="25"/>
        <v>2329.12</v>
      </c>
    </row>
    <row r="253" spans="1:7" x14ac:dyDescent="0.25">
      <c r="A253" s="1">
        <v>252</v>
      </c>
      <c r="B253">
        <v>0.69921919732318916</v>
      </c>
      <c r="C253" s="1">
        <f t="shared" si="21"/>
        <v>61</v>
      </c>
      <c r="D253" s="1">
        <f t="shared" si="22"/>
        <v>440</v>
      </c>
      <c r="E253" s="1">
        <f t="shared" si="23"/>
        <v>400</v>
      </c>
      <c r="F253" s="1">
        <f t="shared" si="24"/>
        <v>0</v>
      </c>
      <c r="G253" s="1">
        <f t="shared" si="25"/>
        <v>2872</v>
      </c>
    </row>
    <row r="254" spans="1:7" x14ac:dyDescent="0.25">
      <c r="A254" s="1">
        <v>253</v>
      </c>
      <c r="B254">
        <v>9.0560822805140329E-2</v>
      </c>
      <c r="C254" s="1">
        <f t="shared" si="21"/>
        <v>183</v>
      </c>
      <c r="D254" s="1">
        <f t="shared" si="22"/>
        <v>318</v>
      </c>
      <c r="E254" s="1">
        <f t="shared" si="23"/>
        <v>318</v>
      </c>
      <c r="F254" s="1">
        <f t="shared" si="24"/>
        <v>82</v>
      </c>
      <c r="G254" s="1">
        <f t="shared" si="25"/>
        <v>2253.7199999999998</v>
      </c>
    </row>
    <row r="255" spans="1:7" x14ac:dyDescent="0.25">
      <c r="A255" s="1">
        <v>254</v>
      </c>
      <c r="B255">
        <v>0.37474063615788655</v>
      </c>
      <c r="C255" s="1">
        <f t="shared" si="21"/>
        <v>126</v>
      </c>
      <c r="D255" s="1">
        <f t="shared" si="22"/>
        <v>375</v>
      </c>
      <c r="E255" s="1">
        <f t="shared" si="23"/>
        <v>375</v>
      </c>
      <c r="F255" s="1">
        <f t="shared" si="24"/>
        <v>25</v>
      </c>
      <c r="G255" s="1">
        <f t="shared" si="25"/>
        <v>2683.5</v>
      </c>
    </row>
    <row r="256" spans="1:7" x14ac:dyDescent="0.25">
      <c r="A256" s="1">
        <v>255</v>
      </c>
      <c r="B256">
        <v>8.8068321244683001E-2</v>
      </c>
      <c r="C256" s="1">
        <f t="shared" si="21"/>
        <v>184</v>
      </c>
      <c r="D256" s="1">
        <f t="shared" si="22"/>
        <v>317</v>
      </c>
      <c r="E256" s="1">
        <f t="shared" si="23"/>
        <v>317</v>
      </c>
      <c r="F256" s="1">
        <f t="shared" si="24"/>
        <v>83</v>
      </c>
      <c r="G256" s="1">
        <f t="shared" si="25"/>
        <v>2246.1799999999998</v>
      </c>
    </row>
    <row r="257" spans="1:7" x14ac:dyDescent="0.25">
      <c r="A257" s="1">
        <v>256</v>
      </c>
      <c r="B257">
        <v>0.65331168444957233</v>
      </c>
      <c r="C257" s="1">
        <f t="shared" si="21"/>
        <v>70</v>
      </c>
      <c r="D257" s="1">
        <f t="shared" si="22"/>
        <v>431</v>
      </c>
      <c r="E257" s="1">
        <f t="shared" si="23"/>
        <v>400</v>
      </c>
      <c r="F257" s="1">
        <f t="shared" si="24"/>
        <v>0</v>
      </c>
      <c r="G257" s="1">
        <f t="shared" si="25"/>
        <v>2872</v>
      </c>
    </row>
    <row r="258" spans="1:7" x14ac:dyDescent="0.25">
      <c r="A258" s="1">
        <v>257</v>
      </c>
      <c r="B258">
        <v>0.68850977700127636</v>
      </c>
      <c r="C258" s="1">
        <f t="shared" ref="C258:C321" si="28">MATCH(B258,$N$2:$N$202,-1)</f>
        <v>63</v>
      </c>
      <c r="D258" s="1">
        <f t="shared" ref="D258:D321" si="29">INDEX($L$2:$L$202,C258)</f>
        <v>438</v>
      </c>
      <c r="E258" s="1">
        <f t="shared" si="23"/>
        <v>400</v>
      </c>
      <c r="F258" s="1">
        <f t="shared" si="24"/>
        <v>0</v>
      </c>
      <c r="G258" s="1">
        <f t="shared" si="25"/>
        <v>2872</v>
      </c>
    </row>
    <row r="259" spans="1:7" x14ac:dyDescent="0.25">
      <c r="A259" s="1">
        <v>258</v>
      </c>
      <c r="B259">
        <v>8.006775322175641E-2</v>
      </c>
      <c r="C259" s="1">
        <f t="shared" si="28"/>
        <v>185</v>
      </c>
      <c r="D259" s="1">
        <f t="shared" si="29"/>
        <v>316</v>
      </c>
      <c r="E259" s="1">
        <f t="shared" ref="E259:E322" si="30">MIN(D259,$I$2)</f>
        <v>316</v>
      </c>
      <c r="F259" s="1">
        <f t="shared" ref="F259:F322" si="31">$I$2-E259</f>
        <v>84</v>
      </c>
      <c r="G259" s="1">
        <f t="shared" ref="G259:G322" si="32">7.5*E259-$I$2/25*8-F259/25*1</f>
        <v>2238.64</v>
      </c>
    </row>
    <row r="260" spans="1:7" x14ac:dyDescent="0.25">
      <c r="A260" s="1">
        <v>259</v>
      </c>
      <c r="B260">
        <v>0.32627399445464067</v>
      </c>
      <c r="C260" s="1">
        <f t="shared" si="28"/>
        <v>136</v>
      </c>
      <c r="D260" s="1">
        <f t="shared" si="29"/>
        <v>365</v>
      </c>
      <c r="E260" s="1">
        <f t="shared" si="30"/>
        <v>365</v>
      </c>
      <c r="F260" s="1">
        <f t="shared" si="31"/>
        <v>35</v>
      </c>
      <c r="G260" s="1">
        <f t="shared" si="32"/>
        <v>2608.1</v>
      </c>
    </row>
    <row r="261" spans="1:7" x14ac:dyDescent="0.25">
      <c r="A261" s="1">
        <v>260</v>
      </c>
      <c r="B261">
        <v>0.93553637175723259</v>
      </c>
      <c r="C261" s="1">
        <f t="shared" si="28"/>
        <v>13</v>
      </c>
      <c r="D261" s="1">
        <f t="shared" si="29"/>
        <v>488</v>
      </c>
      <c r="E261" s="1">
        <f t="shared" si="30"/>
        <v>400</v>
      </c>
      <c r="F261" s="1">
        <f t="shared" si="31"/>
        <v>0</v>
      </c>
      <c r="G261" s="1">
        <f t="shared" si="32"/>
        <v>2872</v>
      </c>
    </row>
    <row r="262" spans="1:7" x14ac:dyDescent="0.25">
      <c r="A262" s="1">
        <v>261</v>
      </c>
      <c r="B262">
        <v>0.41114849410833942</v>
      </c>
      <c r="C262" s="1">
        <f t="shared" si="28"/>
        <v>119</v>
      </c>
      <c r="D262" s="1">
        <f t="shared" si="29"/>
        <v>382</v>
      </c>
      <c r="E262" s="1">
        <f t="shared" si="30"/>
        <v>382</v>
      </c>
      <c r="F262" s="1">
        <f t="shared" si="31"/>
        <v>18</v>
      </c>
      <c r="G262" s="1">
        <f t="shared" si="32"/>
        <v>2736.28</v>
      </c>
    </row>
    <row r="263" spans="1:7" x14ac:dyDescent="0.25">
      <c r="A263" s="1">
        <v>262</v>
      </c>
      <c r="B263">
        <v>0.19194117516846965</v>
      </c>
      <c r="C263" s="1">
        <f t="shared" si="28"/>
        <v>163</v>
      </c>
      <c r="D263" s="1">
        <f t="shared" si="29"/>
        <v>338</v>
      </c>
      <c r="E263" s="1">
        <f t="shared" si="30"/>
        <v>338</v>
      </c>
      <c r="F263" s="1">
        <f t="shared" si="31"/>
        <v>62</v>
      </c>
      <c r="G263" s="1">
        <f t="shared" si="32"/>
        <v>2404.52</v>
      </c>
    </row>
    <row r="264" spans="1:7" x14ac:dyDescent="0.25">
      <c r="A264" s="1">
        <v>263</v>
      </c>
      <c r="B264">
        <v>0.77950408268915139</v>
      </c>
      <c r="C264" s="1">
        <f t="shared" si="28"/>
        <v>45</v>
      </c>
      <c r="D264" s="1">
        <f t="shared" si="29"/>
        <v>456</v>
      </c>
      <c r="E264" s="1">
        <f t="shared" si="30"/>
        <v>400</v>
      </c>
      <c r="F264" s="1">
        <f t="shared" si="31"/>
        <v>0</v>
      </c>
      <c r="G264" s="1">
        <f t="shared" si="32"/>
        <v>2872</v>
      </c>
    </row>
    <row r="265" spans="1:7" x14ac:dyDescent="0.25">
      <c r="A265" s="1">
        <v>264</v>
      </c>
      <c r="B265">
        <v>0.37933341228372219</v>
      </c>
      <c r="C265" s="1">
        <f t="shared" si="28"/>
        <v>125</v>
      </c>
      <c r="D265" s="1">
        <f t="shared" si="29"/>
        <v>376</v>
      </c>
      <c r="E265" s="1">
        <f t="shared" si="30"/>
        <v>376</v>
      </c>
      <c r="F265" s="1">
        <f t="shared" si="31"/>
        <v>24</v>
      </c>
      <c r="G265" s="1">
        <f t="shared" si="32"/>
        <v>2691.04</v>
      </c>
    </row>
    <row r="266" spans="1:7" x14ac:dyDescent="0.25">
      <c r="A266" s="1">
        <v>265</v>
      </c>
      <c r="B266">
        <v>0.53954866729035822</v>
      </c>
      <c r="C266" s="1">
        <f t="shared" si="28"/>
        <v>93</v>
      </c>
      <c r="D266" s="1">
        <f t="shared" si="29"/>
        <v>408</v>
      </c>
      <c r="E266" s="1">
        <f t="shared" si="30"/>
        <v>400</v>
      </c>
      <c r="F266" s="1">
        <f t="shared" si="31"/>
        <v>0</v>
      </c>
      <c r="G266" s="1">
        <f t="shared" si="32"/>
        <v>2872</v>
      </c>
    </row>
    <row r="267" spans="1:7" x14ac:dyDescent="0.25">
      <c r="A267" s="1">
        <v>266</v>
      </c>
      <c r="B267">
        <v>0.84391708905617102</v>
      </c>
      <c r="C267" s="1">
        <f t="shared" si="28"/>
        <v>32</v>
      </c>
      <c r="D267" s="1">
        <f t="shared" si="29"/>
        <v>469</v>
      </c>
      <c r="E267" s="1">
        <f t="shared" si="30"/>
        <v>400</v>
      </c>
      <c r="F267" s="1">
        <f t="shared" si="31"/>
        <v>0</v>
      </c>
      <c r="G267" s="1">
        <f t="shared" si="32"/>
        <v>2872</v>
      </c>
    </row>
    <row r="268" spans="1:7" x14ac:dyDescent="0.25">
      <c r="A268" s="1">
        <v>267</v>
      </c>
      <c r="B268">
        <v>0.34254793961333219</v>
      </c>
      <c r="C268" s="1">
        <f t="shared" si="28"/>
        <v>133</v>
      </c>
      <c r="D268" s="1">
        <f t="shared" si="29"/>
        <v>368</v>
      </c>
      <c r="E268" s="1">
        <f t="shared" si="30"/>
        <v>368</v>
      </c>
      <c r="F268" s="1">
        <f t="shared" si="31"/>
        <v>32</v>
      </c>
      <c r="G268" s="1">
        <f t="shared" si="32"/>
        <v>2630.72</v>
      </c>
    </row>
    <row r="269" spans="1:7" x14ac:dyDescent="0.25">
      <c r="A269" s="1">
        <v>268</v>
      </c>
      <c r="B269">
        <v>0.67538502724076432</v>
      </c>
      <c r="C269" s="1">
        <f t="shared" si="28"/>
        <v>66</v>
      </c>
      <c r="D269" s="1">
        <f t="shared" si="29"/>
        <v>435</v>
      </c>
      <c r="E269" s="1">
        <f t="shared" si="30"/>
        <v>400</v>
      </c>
      <c r="F269" s="1">
        <f t="shared" si="31"/>
        <v>0</v>
      </c>
      <c r="G269" s="1">
        <f t="shared" si="32"/>
        <v>2872</v>
      </c>
    </row>
    <row r="270" spans="1:7" x14ac:dyDescent="0.25">
      <c r="A270" s="1">
        <v>269</v>
      </c>
      <c r="B270">
        <v>0.27036855317449893</v>
      </c>
      <c r="C270" s="1">
        <f t="shared" si="28"/>
        <v>147</v>
      </c>
      <c r="D270" s="1">
        <f t="shared" si="29"/>
        <v>354</v>
      </c>
      <c r="E270" s="1">
        <f t="shared" si="30"/>
        <v>354</v>
      </c>
      <c r="F270" s="1">
        <f t="shared" si="31"/>
        <v>46</v>
      </c>
      <c r="G270" s="1">
        <f t="shared" si="32"/>
        <v>2525.16</v>
      </c>
    </row>
    <row r="271" spans="1:7" x14ac:dyDescent="0.25">
      <c r="A271" s="1">
        <v>270</v>
      </c>
      <c r="B271">
        <v>0.82040078870207456</v>
      </c>
      <c r="C271" s="1">
        <f t="shared" si="28"/>
        <v>37</v>
      </c>
      <c r="D271" s="1">
        <f t="shared" si="29"/>
        <v>464</v>
      </c>
      <c r="E271" s="1">
        <f t="shared" si="30"/>
        <v>400</v>
      </c>
      <c r="F271" s="1">
        <f t="shared" si="31"/>
        <v>0</v>
      </c>
      <c r="G271" s="1">
        <f t="shared" si="32"/>
        <v>2872</v>
      </c>
    </row>
    <row r="272" spans="1:7" x14ac:dyDescent="0.25">
      <c r="A272" s="1">
        <v>271</v>
      </c>
      <c r="B272">
        <v>0.27742719199459698</v>
      </c>
      <c r="C272" s="1">
        <f t="shared" si="28"/>
        <v>146</v>
      </c>
      <c r="D272" s="1">
        <f t="shared" si="29"/>
        <v>355</v>
      </c>
      <c r="E272" s="1">
        <f t="shared" si="30"/>
        <v>355</v>
      </c>
      <c r="F272" s="1">
        <f t="shared" si="31"/>
        <v>45</v>
      </c>
      <c r="G272" s="1">
        <f t="shared" si="32"/>
        <v>2532.6999999999998</v>
      </c>
    </row>
    <row r="273" spans="1:7" x14ac:dyDescent="0.25">
      <c r="A273" s="1">
        <v>272</v>
      </c>
      <c r="B273">
        <v>0.29058587631941735</v>
      </c>
      <c r="C273" s="1">
        <f t="shared" si="28"/>
        <v>143</v>
      </c>
      <c r="D273" s="1">
        <f t="shared" si="29"/>
        <v>358</v>
      </c>
      <c r="E273" s="1">
        <f t="shared" si="30"/>
        <v>358</v>
      </c>
      <c r="F273" s="1">
        <f t="shared" si="31"/>
        <v>42</v>
      </c>
      <c r="G273" s="1">
        <f t="shared" si="32"/>
        <v>2555.3200000000002</v>
      </c>
    </row>
    <row r="274" spans="1:7" x14ac:dyDescent="0.25">
      <c r="A274" s="1">
        <v>273</v>
      </c>
      <c r="B274">
        <v>0.19162178276216379</v>
      </c>
      <c r="C274" s="1">
        <f t="shared" si="28"/>
        <v>163</v>
      </c>
      <c r="D274" s="1">
        <f t="shared" si="29"/>
        <v>338</v>
      </c>
      <c r="E274" s="1">
        <f t="shared" si="30"/>
        <v>338</v>
      </c>
      <c r="F274" s="1">
        <f t="shared" si="31"/>
        <v>62</v>
      </c>
      <c r="G274" s="1">
        <f t="shared" si="32"/>
        <v>2404.52</v>
      </c>
    </row>
    <row r="275" spans="1:7" x14ac:dyDescent="0.25">
      <c r="A275" s="1">
        <v>274</v>
      </c>
      <c r="B275">
        <v>0.38387021678309496</v>
      </c>
      <c r="C275" s="1">
        <f t="shared" si="28"/>
        <v>124</v>
      </c>
      <c r="D275" s="1">
        <f t="shared" si="29"/>
        <v>377</v>
      </c>
      <c r="E275" s="1">
        <f t="shared" si="30"/>
        <v>377</v>
      </c>
      <c r="F275" s="1">
        <f t="shared" si="31"/>
        <v>23</v>
      </c>
      <c r="G275" s="1">
        <f t="shared" si="32"/>
        <v>2698.58</v>
      </c>
    </row>
    <row r="276" spans="1:7" x14ac:dyDescent="0.25">
      <c r="A276" s="1">
        <v>275</v>
      </c>
      <c r="B276">
        <v>0.18580946158070399</v>
      </c>
      <c r="C276" s="1">
        <f t="shared" si="28"/>
        <v>164</v>
      </c>
      <c r="D276" s="1">
        <f t="shared" si="29"/>
        <v>337</v>
      </c>
      <c r="E276" s="1">
        <f t="shared" si="30"/>
        <v>337</v>
      </c>
      <c r="F276" s="1">
        <f t="shared" si="31"/>
        <v>63</v>
      </c>
      <c r="G276" s="1">
        <f t="shared" si="32"/>
        <v>2396.98</v>
      </c>
    </row>
    <row r="277" spans="1:7" x14ac:dyDescent="0.25">
      <c r="A277" s="1">
        <v>276</v>
      </c>
      <c r="B277">
        <v>0.69613525652446706</v>
      </c>
      <c r="C277" s="1">
        <f t="shared" si="28"/>
        <v>62</v>
      </c>
      <c r="D277" s="1">
        <f t="shared" si="29"/>
        <v>439</v>
      </c>
      <c r="E277" s="1">
        <f t="shared" si="30"/>
        <v>400</v>
      </c>
      <c r="F277" s="1">
        <f t="shared" si="31"/>
        <v>0</v>
      </c>
      <c r="G277" s="1">
        <f t="shared" si="32"/>
        <v>2872</v>
      </c>
    </row>
    <row r="278" spans="1:7" x14ac:dyDescent="0.25">
      <c r="A278" s="1">
        <v>277</v>
      </c>
      <c r="B278">
        <v>0.24300949323182996</v>
      </c>
      <c r="C278" s="1">
        <f t="shared" si="28"/>
        <v>153</v>
      </c>
      <c r="D278" s="1">
        <f t="shared" si="29"/>
        <v>348</v>
      </c>
      <c r="E278" s="1">
        <f t="shared" si="30"/>
        <v>348</v>
      </c>
      <c r="F278" s="1">
        <f t="shared" si="31"/>
        <v>52</v>
      </c>
      <c r="G278" s="1">
        <f t="shared" si="32"/>
        <v>2479.92</v>
      </c>
    </row>
    <row r="279" spans="1:7" x14ac:dyDescent="0.25">
      <c r="A279" s="1">
        <v>278</v>
      </c>
      <c r="B279">
        <v>0.72234458518126887</v>
      </c>
      <c r="C279" s="1">
        <f t="shared" si="28"/>
        <v>56</v>
      </c>
      <c r="D279" s="1">
        <f t="shared" si="29"/>
        <v>445</v>
      </c>
      <c r="E279" s="1">
        <f t="shared" si="30"/>
        <v>400</v>
      </c>
      <c r="F279" s="1">
        <f t="shared" si="31"/>
        <v>0</v>
      </c>
      <c r="G279" s="1">
        <f t="shared" si="32"/>
        <v>2872</v>
      </c>
    </row>
    <row r="280" spans="1:7" x14ac:dyDescent="0.25">
      <c r="A280" s="1">
        <v>279</v>
      </c>
      <c r="B280">
        <v>0.61783721623430365</v>
      </c>
      <c r="C280" s="1">
        <f t="shared" si="28"/>
        <v>77</v>
      </c>
      <c r="D280" s="1">
        <f t="shared" si="29"/>
        <v>424</v>
      </c>
      <c r="E280" s="1">
        <f t="shared" si="30"/>
        <v>400</v>
      </c>
      <c r="F280" s="1">
        <f t="shared" si="31"/>
        <v>0</v>
      </c>
      <c r="G280" s="1">
        <f t="shared" si="32"/>
        <v>2872</v>
      </c>
    </row>
    <row r="281" spans="1:7" x14ac:dyDescent="0.25">
      <c r="A281" s="1">
        <v>280</v>
      </c>
      <c r="B281">
        <v>0.64346116026006428</v>
      </c>
      <c r="C281" s="1">
        <f t="shared" si="28"/>
        <v>72</v>
      </c>
      <c r="D281" s="1">
        <f t="shared" si="29"/>
        <v>429</v>
      </c>
      <c r="E281" s="1">
        <f t="shared" si="30"/>
        <v>400</v>
      </c>
      <c r="F281" s="1">
        <f t="shared" si="31"/>
        <v>0</v>
      </c>
      <c r="G281" s="1">
        <f t="shared" si="32"/>
        <v>2872</v>
      </c>
    </row>
    <row r="282" spans="1:7" x14ac:dyDescent="0.25">
      <c r="A282" s="1">
        <v>281</v>
      </c>
      <c r="B282">
        <v>0.33020381681092548</v>
      </c>
      <c r="C282" s="1">
        <f t="shared" si="28"/>
        <v>135</v>
      </c>
      <c r="D282" s="1">
        <f t="shared" si="29"/>
        <v>366</v>
      </c>
      <c r="E282" s="1">
        <f t="shared" si="30"/>
        <v>366</v>
      </c>
      <c r="F282" s="1">
        <f t="shared" si="31"/>
        <v>34</v>
      </c>
      <c r="G282" s="1">
        <f t="shared" si="32"/>
        <v>2615.64</v>
      </c>
    </row>
    <row r="283" spans="1:7" x14ac:dyDescent="0.25">
      <c r="A283" s="1">
        <v>282</v>
      </c>
      <c r="B283">
        <v>0.64451320463227746</v>
      </c>
      <c r="C283" s="1">
        <f t="shared" si="28"/>
        <v>72</v>
      </c>
      <c r="D283" s="1">
        <f t="shared" si="29"/>
        <v>429</v>
      </c>
      <c r="E283" s="1">
        <f t="shared" si="30"/>
        <v>400</v>
      </c>
      <c r="F283" s="1">
        <f t="shared" si="31"/>
        <v>0</v>
      </c>
      <c r="G283" s="1">
        <f t="shared" si="32"/>
        <v>2872</v>
      </c>
    </row>
    <row r="284" spans="1:7" x14ac:dyDescent="0.25">
      <c r="A284" s="1">
        <v>283</v>
      </c>
      <c r="B284">
        <v>0.50921324755969521</v>
      </c>
      <c r="C284" s="1">
        <f t="shared" si="28"/>
        <v>99</v>
      </c>
      <c r="D284" s="1">
        <f t="shared" si="29"/>
        <v>402</v>
      </c>
      <c r="E284" s="1">
        <f t="shared" si="30"/>
        <v>400</v>
      </c>
      <c r="F284" s="1">
        <f t="shared" si="31"/>
        <v>0</v>
      </c>
      <c r="G284" s="1">
        <f t="shared" si="32"/>
        <v>2872</v>
      </c>
    </row>
    <row r="285" spans="1:7" x14ac:dyDescent="0.25">
      <c r="A285" s="1">
        <v>284</v>
      </c>
      <c r="B285">
        <v>0.64306629105718505</v>
      </c>
      <c r="C285" s="1">
        <f t="shared" si="28"/>
        <v>72</v>
      </c>
      <c r="D285" s="1">
        <f t="shared" si="29"/>
        <v>429</v>
      </c>
      <c r="E285" s="1">
        <f t="shared" si="30"/>
        <v>400</v>
      </c>
      <c r="F285" s="1">
        <f t="shared" si="31"/>
        <v>0</v>
      </c>
      <c r="G285" s="1">
        <f t="shared" si="32"/>
        <v>2872</v>
      </c>
    </row>
    <row r="286" spans="1:7" x14ac:dyDescent="0.25">
      <c r="A286" s="1">
        <v>285</v>
      </c>
      <c r="B286">
        <v>2.492462798811268E-2</v>
      </c>
      <c r="C286" s="1">
        <f t="shared" si="28"/>
        <v>196</v>
      </c>
      <c r="D286" s="1">
        <f t="shared" si="29"/>
        <v>305</v>
      </c>
      <c r="E286" s="1">
        <f t="shared" si="30"/>
        <v>305</v>
      </c>
      <c r="F286" s="1">
        <f t="shared" si="31"/>
        <v>95</v>
      </c>
      <c r="G286" s="1">
        <f t="shared" si="32"/>
        <v>2155.6999999999998</v>
      </c>
    </row>
    <row r="287" spans="1:7" x14ac:dyDescent="0.25">
      <c r="A287" s="1">
        <v>286</v>
      </c>
      <c r="B287">
        <v>6.3531815655893276E-2</v>
      </c>
      <c r="C287" s="1">
        <f t="shared" si="28"/>
        <v>189</v>
      </c>
      <c r="D287" s="1">
        <f t="shared" si="29"/>
        <v>312</v>
      </c>
      <c r="E287" s="1">
        <f t="shared" si="30"/>
        <v>312</v>
      </c>
      <c r="F287" s="1">
        <f t="shared" si="31"/>
        <v>88</v>
      </c>
      <c r="G287" s="1">
        <f t="shared" si="32"/>
        <v>2208.48</v>
      </c>
    </row>
    <row r="288" spans="1:7" x14ac:dyDescent="0.25">
      <c r="A288" s="1">
        <v>287</v>
      </c>
      <c r="B288">
        <v>0.29373595557000687</v>
      </c>
      <c r="C288" s="1">
        <f t="shared" si="28"/>
        <v>142</v>
      </c>
      <c r="D288" s="1">
        <f t="shared" si="29"/>
        <v>359</v>
      </c>
      <c r="E288" s="1">
        <f t="shared" si="30"/>
        <v>359</v>
      </c>
      <c r="F288" s="1">
        <f t="shared" si="31"/>
        <v>41</v>
      </c>
      <c r="G288" s="1">
        <f t="shared" si="32"/>
        <v>2562.86</v>
      </c>
    </row>
    <row r="289" spans="1:7" x14ac:dyDescent="0.25">
      <c r="A289" s="1">
        <v>288</v>
      </c>
      <c r="B289">
        <v>0.1998218106779176</v>
      </c>
      <c r="C289" s="1">
        <f t="shared" si="28"/>
        <v>161</v>
      </c>
      <c r="D289" s="1">
        <f t="shared" si="29"/>
        <v>340</v>
      </c>
      <c r="E289" s="1">
        <f t="shared" si="30"/>
        <v>340</v>
      </c>
      <c r="F289" s="1">
        <f t="shared" si="31"/>
        <v>60</v>
      </c>
      <c r="G289" s="1">
        <f t="shared" si="32"/>
        <v>2419.6</v>
      </c>
    </row>
    <row r="290" spans="1:7" x14ac:dyDescent="0.25">
      <c r="A290" s="1">
        <v>289</v>
      </c>
      <c r="B290">
        <v>0.82871973172676483</v>
      </c>
      <c r="C290" s="1">
        <f t="shared" si="28"/>
        <v>35</v>
      </c>
      <c r="D290" s="1">
        <f t="shared" si="29"/>
        <v>466</v>
      </c>
      <c r="E290" s="1">
        <f t="shared" si="30"/>
        <v>400</v>
      </c>
      <c r="F290" s="1">
        <f t="shared" si="31"/>
        <v>0</v>
      </c>
      <c r="G290" s="1">
        <f t="shared" si="32"/>
        <v>2872</v>
      </c>
    </row>
    <row r="291" spans="1:7" x14ac:dyDescent="0.25">
      <c r="A291" s="1">
        <v>290</v>
      </c>
      <c r="B291">
        <v>1.6836897894646374E-2</v>
      </c>
      <c r="C291" s="1">
        <f t="shared" si="28"/>
        <v>198</v>
      </c>
      <c r="D291" s="1">
        <f t="shared" si="29"/>
        <v>303</v>
      </c>
      <c r="E291" s="1">
        <f t="shared" si="30"/>
        <v>303</v>
      </c>
      <c r="F291" s="1">
        <f t="shared" si="31"/>
        <v>97</v>
      </c>
      <c r="G291" s="1">
        <f t="shared" si="32"/>
        <v>2140.62</v>
      </c>
    </row>
    <row r="292" spans="1:7" x14ac:dyDescent="0.25">
      <c r="A292" s="1">
        <v>291</v>
      </c>
      <c r="B292">
        <v>0.48310557128529841</v>
      </c>
      <c r="C292" s="1">
        <f t="shared" si="28"/>
        <v>104</v>
      </c>
      <c r="D292" s="1">
        <f t="shared" si="29"/>
        <v>397</v>
      </c>
      <c r="E292" s="1">
        <f t="shared" si="30"/>
        <v>397</v>
      </c>
      <c r="F292" s="1">
        <f t="shared" si="31"/>
        <v>3</v>
      </c>
      <c r="G292" s="1">
        <f t="shared" si="32"/>
        <v>2849.38</v>
      </c>
    </row>
    <row r="293" spans="1:7" x14ac:dyDescent="0.25">
      <c r="A293" s="1">
        <v>292</v>
      </c>
      <c r="B293">
        <v>3.9562507392672308E-2</v>
      </c>
      <c r="C293" s="1">
        <f t="shared" si="28"/>
        <v>194</v>
      </c>
      <c r="D293" s="1">
        <f t="shared" si="29"/>
        <v>307</v>
      </c>
      <c r="E293" s="1">
        <f t="shared" si="30"/>
        <v>307</v>
      </c>
      <c r="F293" s="1">
        <f t="shared" si="31"/>
        <v>93</v>
      </c>
      <c r="G293" s="1">
        <f t="shared" si="32"/>
        <v>2170.7800000000002</v>
      </c>
    </row>
    <row r="294" spans="1:7" x14ac:dyDescent="0.25">
      <c r="A294" s="1">
        <v>293</v>
      </c>
      <c r="B294">
        <v>0.4501758070168711</v>
      </c>
      <c r="C294" s="1">
        <f t="shared" si="28"/>
        <v>111</v>
      </c>
      <c r="D294" s="1">
        <f t="shared" si="29"/>
        <v>390</v>
      </c>
      <c r="E294" s="1">
        <f t="shared" si="30"/>
        <v>390</v>
      </c>
      <c r="F294" s="1">
        <f t="shared" si="31"/>
        <v>10</v>
      </c>
      <c r="G294" s="1">
        <f t="shared" si="32"/>
        <v>2796.6</v>
      </c>
    </row>
    <row r="295" spans="1:7" x14ac:dyDescent="0.25">
      <c r="A295" s="1">
        <v>294</v>
      </c>
      <c r="B295">
        <v>0.23510533324744709</v>
      </c>
      <c r="C295" s="1">
        <f t="shared" si="28"/>
        <v>154</v>
      </c>
      <c r="D295" s="1">
        <f t="shared" si="29"/>
        <v>347</v>
      </c>
      <c r="E295" s="1">
        <f t="shared" si="30"/>
        <v>347</v>
      </c>
      <c r="F295" s="1">
        <f t="shared" si="31"/>
        <v>53</v>
      </c>
      <c r="G295" s="1">
        <f t="shared" si="32"/>
        <v>2472.38</v>
      </c>
    </row>
    <row r="296" spans="1:7" x14ac:dyDescent="0.25">
      <c r="A296" s="1">
        <v>295</v>
      </c>
      <c r="B296">
        <v>0.71305427431105139</v>
      </c>
      <c r="C296" s="1">
        <f t="shared" si="28"/>
        <v>58</v>
      </c>
      <c r="D296" s="1">
        <f t="shared" si="29"/>
        <v>443</v>
      </c>
      <c r="E296" s="1">
        <f t="shared" si="30"/>
        <v>400</v>
      </c>
      <c r="F296" s="1">
        <f t="shared" si="31"/>
        <v>0</v>
      </c>
      <c r="G296" s="1">
        <f t="shared" si="32"/>
        <v>2872</v>
      </c>
    </row>
    <row r="297" spans="1:7" x14ac:dyDescent="0.25">
      <c r="A297" s="1">
        <v>296</v>
      </c>
      <c r="B297">
        <v>0.30443128203020264</v>
      </c>
      <c r="C297" s="1">
        <f t="shared" si="28"/>
        <v>140</v>
      </c>
      <c r="D297" s="1">
        <f t="shared" si="29"/>
        <v>361</v>
      </c>
      <c r="E297" s="1">
        <f t="shared" si="30"/>
        <v>361</v>
      </c>
      <c r="F297" s="1">
        <f t="shared" si="31"/>
        <v>39</v>
      </c>
      <c r="G297" s="1">
        <f t="shared" si="32"/>
        <v>2577.94</v>
      </c>
    </row>
    <row r="298" spans="1:7" x14ac:dyDescent="0.25">
      <c r="A298" s="1">
        <v>297</v>
      </c>
      <c r="B298">
        <v>0.6340218826265952</v>
      </c>
      <c r="C298" s="1">
        <f t="shared" si="28"/>
        <v>74</v>
      </c>
      <c r="D298" s="1">
        <f t="shared" si="29"/>
        <v>427</v>
      </c>
      <c r="E298" s="1">
        <f t="shared" si="30"/>
        <v>400</v>
      </c>
      <c r="F298" s="1">
        <f t="shared" si="31"/>
        <v>0</v>
      </c>
      <c r="G298" s="1">
        <f t="shared" si="32"/>
        <v>2872</v>
      </c>
    </row>
    <row r="299" spans="1:7" x14ac:dyDescent="0.25">
      <c r="A299" s="1">
        <v>298</v>
      </c>
      <c r="B299">
        <v>0.78723401629574097</v>
      </c>
      <c r="C299" s="1">
        <f t="shared" si="28"/>
        <v>43</v>
      </c>
      <c r="D299" s="1">
        <f t="shared" si="29"/>
        <v>458</v>
      </c>
      <c r="E299" s="1">
        <f t="shared" si="30"/>
        <v>400</v>
      </c>
      <c r="F299" s="1">
        <f t="shared" si="31"/>
        <v>0</v>
      </c>
      <c r="G299" s="1">
        <f t="shared" si="32"/>
        <v>2872</v>
      </c>
    </row>
    <row r="300" spans="1:7" x14ac:dyDescent="0.25">
      <c r="A300" s="1">
        <v>299</v>
      </c>
      <c r="B300">
        <v>0.38003362026591758</v>
      </c>
      <c r="C300" s="1">
        <f t="shared" si="28"/>
        <v>125</v>
      </c>
      <c r="D300" s="1">
        <f t="shared" si="29"/>
        <v>376</v>
      </c>
      <c r="E300" s="1">
        <f t="shared" si="30"/>
        <v>376</v>
      </c>
      <c r="F300" s="1">
        <f t="shared" si="31"/>
        <v>24</v>
      </c>
      <c r="G300" s="1">
        <f t="shared" si="32"/>
        <v>2691.04</v>
      </c>
    </row>
    <row r="301" spans="1:7" x14ac:dyDescent="0.25">
      <c r="A301" s="1">
        <v>300</v>
      </c>
      <c r="B301">
        <v>9.7749089354370877E-3</v>
      </c>
      <c r="C301" s="1">
        <f t="shared" si="28"/>
        <v>200</v>
      </c>
      <c r="D301" s="1">
        <f t="shared" si="29"/>
        <v>301</v>
      </c>
      <c r="E301" s="1">
        <f t="shared" si="30"/>
        <v>301</v>
      </c>
      <c r="F301" s="1">
        <f t="shared" si="31"/>
        <v>99</v>
      </c>
      <c r="G301" s="1">
        <f t="shared" si="32"/>
        <v>2125.54</v>
      </c>
    </row>
    <row r="302" spans="1:7" x14ac:dyDescent="0.25">
      <c r="A302" s="1">
        <v>301</v>
      </c>
      <c r="B302">
        <v>0.42044253078642979</v>
      </c>
      <c r="C302" s="1">
        <f t="shared" si="28"/>
        <v>117</v>
      </c>
      <c r="D302" s="1">
        <f t="shared" si="29"/>
        <v>384</v>
      </c>
      <c r="E302" s="1">
        <f t="shared" si="30"/>
        <v>384</v>
      </c>
      <c r="F302" s="1">
        <f t="shared" si="31"/>
        <v>16</v>
      </c>
      <c r="G302" s="1">
        <f t="shared" si="32"/>
        <v>2751.36</v>
      </c>
    </row>
    <row r="303" spans="1:7" x14ac:dyDescent="0.25">
      <c r="A303" s="1">
        <v>302</v>
      </c>
      <c r="B303">
        <v>0.79949205613186236</v>
      </c>
      <c r="C303" s="1">
        <f t="shared" si="28"/>
        <v>41</v>
      </c>
      <c r="D303" s="1">
        <f t="shared" si="29"/>
        <v>460</v>
      </c>
      <c r="E303" s="1">
        <f t="shared" si="30"/>
        <v>400</v>
      </c>
      <c r="F303" s="1">
        <f t="shared" si="31"/>
        <v>0</v>
      </c>
      <c r="G303" s="1">
        <f t="shared" si="32"/>
        <v>2872</v>
      </c>
    </row>
    <row r="304" spans="1:7" x14ac:dyDescent="0.25">
      <c r="A304" s="1">
        <v>303</v>
      </c>
      <c r="B304">
        <v>0.24328186903153093</v>
      </c>
      <c r="C304" s="1">
        <f t="shared" si="28"/>
        <v>153</v>
      </c>
      <c r="D304" s="1">
        <f t="shared" si="29"/>
        <v>348</v>
      </c>
      <c r="E304" s="1">
        <f t="shared" si="30"/>
        <v>348</v>
      </c>
      <c r="F304" s="1">
        <f t="shared" si="31"/>
        <v>52</v>
      </c>
      <c r="G304" s="1">
        <f t="shared" si="32"/>
        <v>2479.92</v>
      </c>
    </row>
    <row r="305" spans="1:7" x14ac:dyDescent="0.25">
      <c r="A305" s="1">
        <v>304</v>
      </c>
      <c r="B305">
        <v>6.6180018396682194E-2</v>
      </c>
      <c r="C305" s="1">
        <f t="shared" si="28"/>
        <v>188</v>
      </c>
      <c r="D305" s="1">
        <f t="shared" si="29"/>
        <v>313</v>
      </c>
      <c r="E305" s="1">
        <f t="shared" si="30"/>
        <v>313</v>
      </c>
      <c r="F305" s="1">
        <f t="shared" si="31"/>
        <v>87</v>
      </c>
      <c r="G305" s="1">
        <f t="shared" si="32"/>
        <v>2216.02</v>
      </c>
    </row>
    <row r="306" spans="1:7" x14ac:dyDescent="0.25">
      <c r="A306" s="1">
        <v>305</v>
      </c>
      <c r="B306">
        <v>0.38109235794726093</v>
      </c>
      <c r="C306" s="1">
        <f t="shared" si="28"/>
        <v>125</v>
      </c>
      <c r="D306" s="1">
        <f t="shared" si="29"/>
        <v>376</v>
      </c>
      <c r="E306" s="1">
        <f t="shared" si="30"/>
        <v>376</v>
      </c>
      <c r="F306" s="1">
        <f t="shared" si="31"/>
        <v>24</v>
      </c>
      <c r="G306" s="1">
        <f t="shared" si="32"/>
        <v>2691.04</v>
      </c>
    </row>
    <row r="307" spans="1:7" x14ac:dyDescent="0.25">
      <c r="A307" s="1">
        <v>306</v>
      </c>
      <c r="B307">
        <v>0.60799909330158319</v>
      </c>
      <c r="C307" s="1">
        <f t="shared" si="28"/>
        <v>79</v>
      </c>
      <c r="D307" s="1">
        <f t="shared" si="29"/>
        <v>422</v>
      </c>
      <c r="E307" s="1">
        <f t="shared" si="30"/>
        <v>400</v>
      </c>
      <c r="F307" s="1">
        <f t="shared" si="31"/>
        <v>0</v>
      </c>
      <c r="G307" s="1">
        <f t="shared" si="32"/>
        <v>2872</v>
      </c>
    </row>
    <row r="308" spans="1:7" x14ac:dyDescent="0.25">
      <c r="A308" s="1">
        <v>307</v>
      </c>
      <c r="B308">
        <v>0.10217396899516795</v>
      </c>
      <c r="C308" s="1">
        <f t="shared" si="28"/>
        <v>181</v>
      </c>
      <c r="D308" s="1">
        <f t="shared" si="29"/>
        <v>320</v>
      </c>
      <c r="E308" s="1">
        <f t="shared" si="30"/>
        <v>320</v>
      </c>
      <c r="F308" s="1">
        <f t="shared" si="31"/>
        <v>80</v>
      </c>
      <c r="G308" s="1">
        <f t="shared" si="32"/>
        <v>2268.8000000000002</v>
      </c>
    </row>
    <row r="309" spans="1:7" x14ac:dyDescent="0.25">
      <c r="A309" s="1">
        <v>308</v>
      </c>
      <c r="B309">
        <v>0.53067932690285757</v>
      </c>
      <c r="C309" s="1">
        <f t="shared" si="28"/>
        <v>95</v>
      </c>
      <c r="D309" s="1">
        <f t="shared" si="29"/>
        <v>406</v>
      </c>
      <c r="E309" s="1">
        <f t="shared" si="30"/>
        <v>400</v>
      </c>
      <c r="F309" s="1">
        <f t="shared" si="31"/>
        <v>0</v>
      </c>
      <c r="G309" s="1">
        <f t="shared" si="32"/>
        <v>2872</v>
      </c>
    </row>
    <row r="310" spans="1:7" x14ac:dyDescent="0.25">
      <c r="A310" s="1">
        <v>309</v>
      </c>
      <c r="B310">
        <v>0.91919805004671895</v>
      </c>
      <c r="C310" s="1">
        <f t="shared" si="28"/>
        <v>17</v>
      </c>
      <c r="D310" s="1">
        <f t="shared" si="29"/>
        <v>484</v>
      </c>
      <c r="E310" s="1">
        <f t="shared" si="30"/>
        <v>400</v>
      </c>
      <c r="F310" s="1">
        <f t="shared" si="31"/>
        <v>0</v>
      </c>
      <c r="G310" s="1">
        <f t="shared" si="32"/>
        <v>2872</v>
      </c>
    </row>
    <row r="311" spans="1:7" x14ac:dyDescent="0.25">
      <c r="A311" s="1">
        <v>310</v>
      </c>
      <c r="B311">
        <v>0.79745080551264014</v>
      </c>
      <c r="C311" s="1">
        <f t="shared" si="28"/>
        <v>41</v>
      </c>
      <c r="D311" s="1">
        <f t="shared" si="29"/>
        <v>460</v>
      </c>
      <c r="E311" s="1">
        <f t="shared" si="30"/>
        <v>400</v>
      </c>
      <c r="F311" s="1">
        <f t="shared" si="31"/>
        <v>0</v>
      </c>
      <c r="G311" s="1">
        <f t="shared" si="32"/>
        <v>2872</v>
      </c>
    </row>
    <row r="312" spans="1:7" x14ac:dyDescent="0.25">
      <c r="A312" s="1">
        <v>311</v>
      </c>
      <c r="B312">
        <v>0.89186682342609014</v>
      </c>
      <c r="C312" s="1">
        <f t="shared" si="28"/>
        <v>22</v>
      </c>
      <c r="D312" s="1">
        <f t="shared" si="29"/>
        <v>479</v>
      </c>
      <c r="E312" s="1">
        <f t="shared" si="30"/>
        <v>400</v>
      </c>
      <c r="F312" s="1">
        <f t="shared" si="31"/>
        <v>0</v>
      </c>
      <c r="G312" s="1">
        <f t="shared" si="32"/>
        <v>2872</v>
      </c>
    </row>
    <row r="313" spans="1:7" x14ac:dyDescent="0.25">
      <c r="A313" s="1">
        <v>312</v>
      </c>
      <c r="B313">
        <v>0.52847081702231524</v>
      </c>
      <c r="C313" s="1">
        <f t="shared" si="28"/>
        <v>95</v>
      </c>
      <c r="D313" s="1">
        <f t="shared" si="29"/>
        <v>406</v>
      </c>
      <c r="E313" s="1">
        <f t="shared" si="30"/>
        <v>400</v>
      </c>
      <c r="F313" s="1">
        <f t="shared" si="31"/>
        <v>0</v>
      </c>
      <c r="G313" s="1">
        <f t="shared" si="32"/>
        <v>2872</v>
      </c>
    </row>
    <row r="314" spans="1:7" x14ac:dyDescent="0.25">
      <c r="A314" s="1">
        <v>313</v>
      </c>
      <c r="B314">
        <v>0.40158288659360897</v>
      </c>
      <c r="C314" s="1">
        <f t="shared" si="28"/>
        <v>121</v>
      </c>
      <c r="D314" s="1">
        <f t="shared" si="29"/>
        <v>380</v>
      </c>
      <c r="E314" s="1">
        <f t="shared" si="30"/>
        <v>380</v>
      </c>
      <c r="F314" s="1">
        <f t="shared" si="31"/>
        <v>20</v>
      </c>
      <c r="G314" s="1">
        <f t="shared" si="32"/>
        <v>2721.2</v>
      </c>
    </row>
    <row r="315" spans="1:7" x14ac:dyDescent="0.25">
      <c r="A315" s="1">
        <v>314</v>
      </c>
      <c r="B315">
        <v>0.83476157451085031</v>
      </c>
      <c r="C315" s="1">
        <f t="shared" si="28"/>
        <v>34</v>
      </c>
      <c r="D315" s="1">
        <f t="shared" si="29"/>
        <v>467</v>
      </c>
      <c r="E315" s="1">
        <f t="shared" si="30"/>
        <v>400</v>
      </c>
      <c r="F315" s="1">
        <f t="shared" si="31"/>
        <v>0</v>
      </c>
      <c r="G315" s="1">
        <f t="shared" si="32"/>
        <v>2872</v>
      </c>
    </row>
    <row r="316" spans="1:7" x14ac:dyDescent="0.25">
      <c r="A316" s="1">
        <v>315</v>
      </c>
      <c r="B316">
        <v>0.22647943283693439</v>
      </c>
      <c r="C316" s="1">
        <f t="shared" si="28"/>
        <v>156</v>
      </c>
      <c r="D316" s="1">
        <f t="shared" si="29"/>
        <v>345</v>
      </c>
      <c r="E316" s="1">
        <f t="shared" si="30"/>
        <v>345</v>
      </c>
      <c r="F316" s="1">
        <f t="shared" si="31"/>
        <v>55</v>
      </c>
      <c r="G316" s="1">
        <f t="shared" si="32"/>
        <v>2457.3000000000002</v>
      </c>
    </row>
    <row r="317" spans="1:7" x14ac:dyDescent="0.25">
      <c r="A317" s="1">
        <v>316</v>
      </c>
      <c r="B317">
        <v>0.38312236401426714</v>
      </c>
      <c r="C317" s="1">
        <f t="shared" si="28"/>
        <v>124</v>
      </c>
      <c r="D317" s="1">
        <f t="shared" si="29"/>
        <v>377</v>
      </c>
      <c r="E317" s="1">
        <f t="shared" si="30"/>
        <v>377</v>
      </c>
      <c r="F317" s="1">
        <f t="shared" si="31"/>
        <v>23</v>
      </c>
      <c r="G317" s="1">
        <f t="shared" si="32"/>
        <v>2698.58</v>
      </c>
    </row>
    <row r="318" spans="1:7" x14ac:dyDescent="0.25">
      <c r="A318" s="1">
        <v>317</v>
      </c>
      <c r="B318">
        <v>0.59359077045959185</v>
      </c>
      <c r="C318" s="1">
        <f t="shared" si="28"/>
        <v>82</v>
      </c>
      <c r="D318" s="1">
        <f t="shared" si="29"/>
        <v>419</v>
      </c>
      <c r="E318" s="1">
        <f t="shared" si="30"/>
        <v>400</v>
      </c>
      <c r="F318" s="1">
        <f t="shared" si="31"/>
        <v>0</v>
      </c>
      <c r="G318" s="1">
        <f t="shared" si="32"/>
        <v>2872</v>
      </c>
    </row>
    <row r="319" spans="1:7" x14ac:dyDescent="0.25">
      <c r="A319" s="1">
        <v>318</v>
      </c>
      <c r="B319">
        <v>0.5832401703845953</v>
      </c>
      <c r="C319" s="1">
        <f t="shared" si="28"/>
        <v>84</v>
      </c>
      <c r="D319" s="1">
        <f t="shared" si="29"/>
        <v>417</v>
      </c>
      <c r="E319" s="1">
        <f t="shared" si="30"/>
        <v>400</v>
      </c>
      <c r="F319" s="1">
        <f t="shared" si="31"/>
        <v>0</v>
      </c>
      <c r="G319" s="1">
        <f t="shared" si="32"/>
        <v>2872</v>
      </c>
    </row>
    <row r="320" spans="1:7" x14ac:dyDescent="0.25">
      <c r="A320" s="1">
        <v>319</v>
      </c>
      <c r="B320">
        <v>0.1354481498376825</v>
      </c>
      <c r="C320" s="1">
        <f t="shared" si="28"/>
        <v>174</v>
      </c>
      <c r="D320" s="1">
        <f t="shared" si="29"/>
        <v>327</v>
      </c>
      <c r="E320" s="1">
        <f t="shared" si="30"/>
        <v>327</v>
      </c>
      <c r="F320" s="1">
        <f t="shared" si="31"/>
        <v>73</v>
      </c>
      <c r="G320" s="1">
        <f t="shared" si="32"/>
        <v>2321.58</v>
      </c>
    </row>
    <row r="321" spans="1:7" x14ac:dyDescent="0.25">
      <c r="A321" s="1">
        <v>320</v>
      </c>
      <c r="B321">
        <v>7.9810908337353825E-2</v>
      </c>
      <c r="C321" s="1">
        <f t="shared" si="28"/>
        <v>185</v>
      </c>
      <c r="D321" s="1">
        <f t="shared" si="29"/>
        <v>316</v>
      </c>
      <c r="E321" s="1">
        <f t="shared" si="30"/>
        <v>316</v>
      </c>
      <c r="F321" s="1">
        <f t="shared" si="31"/>
        <v>84</v>
      </c>
      <c r="G321" s="1">
        <f t="shared" si="32"/>
        <v>2238.64</v>
      </c>
    </row>
    <row r="322" spans="1:7" x14ac:dyDescent="0.25">
      <c r="A322" s="1">
        <v>321</v>
      </c>
      <c r="B322">
        <v>9.1570525762211807E-2</v>
      </c>
      <c r="C322" s="1">
        <f t="shared" ref="C322:C385" si="33">MATCH(B322,$N$2:$N$202,-1)</f>
        <v>183</v>
      </c>
      <c r="D322" s="1">
        <f t="shared" ref="D322:D385" si="34">INDEX($L$2:$L$202,C322)</f>
        <v>318</v>
      </c>
      <c r="E322" s="1">
        <f t="shared" si="30"/>
        <v>318</v>
      </c>
      <c r="F322" s="1">
        <f t="shared" si="31"/>
        <v>82</v>
      </c>
      <c r="G322" s="1">
        <f t="shared" si="32"/>
        <v>2253.7199999999998</v>
      </c>
    </row>
    <row r="323" spans="1:7" x14ac:dyDescent="0.25">
      <c r="A323" s="1">
        <v>322</v>
      </c>
      <c r="B323">
        <v>0.33190970738951331</v>
      </c>
      <c r="C323" s="1">
        <f t="shared" si="33"/>
        <v>135</v>
      </c>
      <c r="D323" s="1">
        <f t="shared" si="34"/>
        <v>366</v>
      </c>
      <c r="E323" s="1">
        <f t="shared" ref="E323:E386" si="35">MIN(D323,$I$2)</f>
        <v>366</v>
      </c>
      <c r="F323" s="1">
        <f t="shared" ref="F323:F386" si="36">$I$2-E323</f>
        <v>34</v>
      </c>
      <c r="G323" s="1">
        <f t="shared" ref="G323:G386" si="37">7.5*E323-$I$2/25*8-F323/25*1</f>
        <v>2615.64</v>
      </c>
    </row>
    <row r="324" spans="1:7" x14ac:dyDescent="0.25">
      <c r="A324" s="1">
        <v>323</v>
      </c>
      <c r="B324">
        <v>0.70919519990633106</v>
      </c>
      <c r="C324" s="1">
        <f t="shared" si="33"/>
        <v>59</v>
      </c>
      <c r="D324" s="1">
        <f t="shared" si="34"/>
        <v>442</v>
      </c>
      <c r="E324" s="1">
        <f t="shared" si="35"/>
        <v>400</v>
      </c>
      <c r="F324" s="1">
        <f t="shared" si="36"/>
        <v>0</v>
      </c>
      <c r="G324" s="1">
        <f t="shared" si="37"/>
        <v>2872</v>
      </c>
    </row>
    <row r="325" spans="1:7" x14ac:dyDescent="0.25">
      <c r="A325" s="1">
        <v>324</v>
      </c>
      <c r="B325">
        <v>0.27839094665484299</v>
      </c>
      <c r="C325" s="1">
        <f t="shared" si="33"/>
        <v>146</v>
      </c>
      <c r="D325" s="1">
        <f t="shared" si="34"/>
        <v>355</v>
      </c>
      <c r="E325" s="1">
        <f t="shared" si="35"/>
        <v>355</v>
      </c>
      <c r="F325" s="1">
        <f t="shared" si="36"/>
        <v>45</v>
      </c>
      <c r="G325" s="1">
        <f t="shared" si="37"/>
        <v>2532.6999999999998</v>
      </c>
    </row>
    <row r="326" spans="1:7" x14ac:dyDescent="0.25">
      <c r="A326" s="1">
        <v>325</v>
      </c>
      <c r="B326">
        <v>0.1015371008459679</v>
      </c>
      <c r="C326" s="1">
        <f t="shared" si="33"/>
        <v>181</v>
      </c>
      <c r="D326" s="1">
        <f t="shared" si="34"/>
        <v>320</v>
      </c>
      <c r="E326" s="1">
        <f t="shared" si="35"/>
        <v>320</v>
      </c>
      <c r="F326" s="1">
        <f t="shared" si="36"/>
        <v>80</v>
      </c>
      <c r="G326" s="1">
        <f t="shared" si="37"/>
        <v>2268.8000000000002</v>
      </c>
    </row>
    <row r="327" spans="1:7" x14ac:dyDescent="0.25">
      <c r="A327" s="1">
        <v>326</v>
      </c>
      <c r="B327">
        <v>0.69741003147705605</v>
      </c>
      <c r="C327" s="1">
        <f t="shared" si="33"/>
        <v>61</v>
      </c>
      <c r="D327" s="1">
        <f t="shared" si="34"/>
        <v>440</v>
      </c>
      <c r="E327" s="1">
        <f t="shared" si="35"/>
        <v>400</v>
      </c>
      <c r="F327" s="1">
        <f t="shared" si="36"/>
        <v>0</v>
      </c>
      <c r="G327" s="1">
        <f t="shared" si="37"/>
        <v>2872</v>
      </c>
    </row>
    <row r="328" spans="1:7" x14ac:dyDescent="0.25">
      <c r="A328" s="1">
        <v>327</v>
      </c>
      <c r="B328">
        <v>0.39587806917951551</v>
      </c>
      <c r="C328" s="1">
        <f t="shared" si="33"/>
        <v>122</v>
      </c>
      <c r="D328" s="1">
        <f t="shared" si="34"/>
        <v>379</v>
      </c>
      <c r="E328" s="1">
        <f t="shared" si="35"/>
        <v>379</v>
      </c>
      <c r="F328" s="1">
        <f t="shared" si="36"/>
        <v>21</v>
      </c>
      <c r="G328" s="1">
        <f t="shared" si="37"/>
        <v>2713.66</v>
      </c>
    </row>
    <row r="329" spans="1:7" x14ac:dyDescent="0.25">
      <c r="A329" s="1">
        <v>328</v>
      </c>
      <c r="B329">
        <v>0.42002255166244384</v>
      </c>
      <c r="C329" s="1">
        <f t="shared" si="33"/>
        <v>117</v>
      </c>
      <c r="D329" s="1">
        <f t="shared" si="34"/>
        <v>384</v>
      </c>
      <c r="E329" s="1">
        <f t="shared" si="35"/>
        <v>384</v>
      </c>
      <c r="F329" s="1">
        <f t="shared" si="36"/>
        <v>16</v>
      </c>
      <c r="G329" s="1">
        <f t="shared" si="37"/>
        <v>2751.36</v>
      </c>
    </row>
    <row r="330" spans="1:7" x14ac:dyDescent="0.25">
      <c r="A330" s="1">
        <v>329</v>
      </c>
      <c r="B330">
        <v>0.64111523477134202</v>
      </c>
      <c r="C330" s="1">
        <f t="shared" si="33"/>
        <v>73</v>
      </c>
      <c r="D330" s="1">
        <f t="shared" si="34"/>
        <v>428</v>
      </c>
      <c r="E330" s="1">
        <f t="shared" si="35"/>
        <v>400</v>
      </c>
      <c r="F330" s="1">
        <f t="shared" si="36"/>
        <v>0</v>
      </c>
      <c r="G330" s="1">
        <f t="shared" si="37"/>
        <v>2872</v>
      </c>
    </row>
    <row r="331" spans="1:7" x14ac:dyDescent="0.25">
      <c r="A331" s="1">
        <v>330</v>
      </c>
      <c r="B331">
        <v>0.34555990182107399</v>
      </c>
      <c r="C331" s="1">
        <f t="shared" si="33"/>
        <v>132</v>
      </c>
      <c r="D331" s="1">
        <f t="shared" si="34"/>
        <v>369</v>
      </c>
      <c r="E331" s="1">
        <f t="shared" si="35"/>
        <v>369</v>
      </c>
      <c r="F331" s="1">
        <f t="shared" si="36"/>
        <v>31</v>
      </c>
      <c r="G331" s="1">
        <f t="shared" si="37"/>
        <v>2638.26</v>
      </c>
    </row>
    <row r="332" spans="1:7" x14ac:dyDescent="0.25">
      <c r="A332" s="1">
        <v>331</v>
      </c>
      <c r="B332">
        <v>0.11908658917205894</v>
      </c>
      <c r="C332" s="1">
        <f t="shared" si="33"/>
        <v>178</v>
      </c>
      <c r="D332" s="1">
        <f t="shared" si="34"/>
        <v>323</v>
      </c>
      <c r="E332" s="1">
        <f t="shared" si="35"/>
        <v>323</v>
      </c>
      <c r="F332" s="1">
        <f t="shared" si="36"/>
        <v>77</v>
      </c>
      <c r="G332" s="1">
        <f t="shared" si="37"/>
        <v>2291.42</v>
      </c>
    </row>
    <row r="333" spans="1:7" x14ac:dyDescent="0.25">
      <c r="A333" s="1">
        <v>332</v>
      </c>
      <c r="B333">
        <v>0.87800678676496346</v>
      </c>
      <c r="C333" s="1">
        <f t="shared" si="33"/>
        <v>25</v>
      </c>
      <c r="D333" s="1">
        <f t="shared" si="34"/>
        <v>476</v>
      </c>
      <c r="E333" s="1">
        <f t="shared" si="35"/>
        <v>400</v>
      </c>
      <c r="F333" s="1">
        <f t="shared" si="36"/>
        <v>0</v>
      </c>
      <c r="G333" s="1">
        <f t="shared" si="37"/>
        <v>2872</v>
      </c>
    </row>
    <row r="334" spans="1:7" x14ac:dyDescent="0.25">
      <c r="A334" s="1">
        <v>333</v>
      </c>
      <c r="B334">
        <v>0.31948509930282509</v>
      </c>
      <c r="C334" s="1">
        <f t="shared" si="33"/>
        <v>137</v>
      </c>
      <c r="D334" s="1">
        <f t="shared" si="34"/>
        <v>364</v>
      </c>
      <c r="E334" s="1">
        <f t="shared" si="35"/>
        <v>364</v>
      </c>
      <c r="F334" s="1">
        <f t="shared" si="36"/>
        <v>36</v>
      </c>
      <c r="G334" s="1">
        <f t="shared" si="37"/>
        <v>2600.56</v>
      </c>
    </row>
    <row r="335" spans="1:7" x14ac:dyDescent="0.25">
      <c r="A335" s="1">
        <v>334</v>
      </c>
      <c r="B335">
        <v>2.0825074521593434E-2</v>
      </c>
      <c r="C335" s="1">
        <f t="shared" si="33"/>
        <v>197</v>
      </c>
      <c r="D335" s="1">
        <f t="shared" si="34"/>
        <v>304</v>
      </c>
      <c r="E335" s="1">
        <f t="shared" si="35"/>
        <v>304</v>
      </c>
      <c r="F335" s="1">
        <f t="shared" si="36"/>
        <v>96</v>
      </c>
      <c r="G335" s="1">
        <f t="shared" si="37"/>
        <v>2148.16</v>
      </c>
    </row>
    <row r="336" spans="1:7" x14ac:dyDescent="0.25">
      <c r="A336" s="1">
        <v>335</v>
      </c>
      <c r="B336">
        <v>0.76544063269826579</v>
      </c>
      <c r="C336" s="1">
        <f t="shared" si="33"/>
        <v>48</v>
      </c>
      <c r="D336" s="1">
        <f t="shared" si="34"/>
        <v>453</v>
      </c>
      <c r="E336" s="1">
        <f t="shared" si="35"/>
        <v>400</v>
      </c>
      <c r="F336" s="1">
        <f t="shared" si="36"/>
        <v>0</v>
      </c>
      <c r="G336" s="1">
        <f t="shared" si="37"/>
        <v>2872</v>
      </c>
    </row>
    <row r="337" spans="1:7" x14ac:dyDescent="0.25">
      <c r="A337" s="1">
        <v>336</v>
      </c>
      <c r="B337">
        <v>0.55806444188574444</v>
      </c>
      <c r="C337" s="1">
        <f t="shared" si="33"/>
        <v>89</v>
      </c>
      <c r="D337" s="1">
        <f t="shared" si="34"/>
        <v>412</v>
      </c>
      <c r="E337" s="1">
        <f t="shared" si="35"/>
        <v>400</v>
      </c>
      <c r="F337" s="1">
        <f t="shared" si="36"/>
        <v>0</v>
      </c>
      <c r="G337" s="1">
        <f t="shared" si="37"/>
        <v>2872</v>
      </c>
    </row>
    <row r="338" spans="1:7" x14ac:dyDescent="0.25">
      <c r="A338" s="1">
        <v>337</v>
      </c>
      <c r="B338">
        <v>0.77857220797681026</v>
      </c>
      <c r="C338" s="1">
        <f t="shared" si="33"/>
        <v>45</v>
      </c>
      <c r="D338" s="1">
        <f t="shared" si="34"/>
        <v>456</v>
      </c>
      <c r="E338" s="1">
        <f t="shared" si="35"/>
        <v>400</v>
      </c>
      <c r="F338" s="1">
        <f t="shared" si="36"/>
        <v>0</v>
      </c>
      <c r="G338" s="1">
        <f t="shared" si="37"/>
        <v>2872</v>
      </c>
    </row>
    <row r="339" spans="1:7" x14ac:dyDescent="0.25">
      <c r="A339" s="1">
        <v>338</v>
      </c>
      <c r="B339">
        <v>0.80628992925364384</v>
      </c>
      <c r="C339" s="1">
        <f t="shared" si="33"/>
        <v>39</v>
      </c>
      <c r="D339" s="1">
        <f t="shared" si="34"/>
        <v>462</v>
      </c>
      <c r="E339" s="1">
        <f t="shared" si="35"/>
        <v>400</v>
      </c>
      <c r="F339" s="1">
        <f t="shared" si="36"/>
        <v>0</v>
      </c>
      <c r="G339" s="1">
        <f t="shared" si="37"/>
        <v>2872</v>
      </c>
    </row>
    <row r="340" spans="1:7" x14ac:dyDescent="0.25">
      <c r="A340" s="1">
        <v>339</v>
      </c>
      <c r="B340">
        <v>0.42491863504329797</v>
      </c>
      <c r="C340" s="1">
        <f t="shared" si="33"/>
        <v>116</v>
      </c>
      <c r="D340" s="1">
        <f t="shared" si="34"/>
        <v>385</v>
      </c>
      <c r="E340" s="1">
        <f t="shared" si="35"/>
        <v>385</v>
      </c>
      <c r="F340" s="1">
        <f t="shared" si="36"/>
        <v>15</v>
      </c>
      <c r="G340" s="1">
        <f t="shared" si="37"/>
        <v>2758.9</v>
      </c>
    </row>
    <row r="341" spans="1:7" x14ac:dyDescent="0.25">
      <c r="A341" s="1">
        <v>340</v>
      </c>
      <c r="B341">
        <v>0.89766899128273092</v>
      </c>
      <c r="C341" s="1">
        <f t="shared" si="33"/>
        <v>21</v>
      </c>
      <c r="D341" s="1">
        <f t="shared" si="34"/>
        <v>480</v>
      </c>
      <c r="E341" s="1">
        <f t="shared" si="35"/>
        <v>400</v>
      </c>
      <c r="F341" s="1">
        <f t="shared" si="36"/>
        <v>0</v>
      </c>
      <c r="G341" s="1">
        <f t="shared" si="37"/>
        <v>2872</v>
      </c>
    </row>
    <row r="342" spans="1:7" x14ac:dyDescent="0.25">
      <c r="A342" s="1">
        <v>341</v>
      </c>
      <c r="B342">
        <v>0.45791876903152184</v>
      </c>
      <c r="C342" s="1">
        <f t="shared" si="33"/>
        <v>109</v>
      </c>
      <c r="D342" s="1">
        <f t="shared" si="34"/>
        <v>392</v>
      </c>
      <c r="E342" s="1">
        <f t="shared" si="35"/>
        <v>392</v>
      </c>
      <c r="F342" s="1">
        <f t="shared" si="36"/>
        <v>8</v>
      </c>
      <c r="G342" s="1">
        <f t="shared" si="37"/>
        <v>2811.68</v>
      </c>
    </row>
    <row r="343" spans="1:7" x14ac:dyDescent="0.25">
      <c r="A343" s="1">
        <v>342</v>
      </c>
      <c r="B343">
        <v>0.71665059509238771</v>
      </c>
      <c r="C343" s="1">
        <f t="shared" si="33"/>
        <v>57</v>
      </c>
      <c r="D343" s="1">
        <f t="shared" si="34"/>
        <v>444</v>
      </c>
      <c r="E343" s="1">
        <f t="shared" si="35"/>
        <v>400</v>
      </c>
      <c r="F343" s="1">
        <f t="shared" si="36"/>
        <v>0</v>
      </c>
      <c r="G343" s="1">
        <f t="shared" si="37"/>
        <v>2872</v>
      </c>
    </row>
    <row r="344" spans="1:7" x14ac:dyDescent="0.25">
      <c r="A344" s="1">
        <v>343</v>
      </c>
      <c r="B344">
        <v>8.9418655541987357E-3</v>
      </c>
      <c r="C344" s="1">
        <f t="shared" si="33"/>
        <v>200</v>
      </c>
      <c r="D344" s="1">
        <f t="shared" si="34"/>
        <v>301</v>
      </c>
      <c r="E344" s="1">
        <f t="shared" si="35"/>
        <v>301</v>
      </c>
      <c r="F344" s="1">
        <f t="shared" si="36"/>
        <v>99</v>
      </c>
      <c r="G344" s="1">
        <f t="shared" si="37"/>
        <v>2125.54</v>
      </c>
    </row>
    <row r="345" spans="1:7" x14ac:dyDescent="0.25">
      <c r="A345" s="1">
        <v>344</v>
      </c>
      <c r="B345">
        <v>0.14674452021157036</v>
      </c>
      <c r="C345" s="1">
        <f t="shared" si="33"/>
        <v>172</v>
      </c>
      <c r="D345" s="1">
        <f t="shared" si="34"/>
        <v>329</v>
      </c>
      <c r="E345" s="1">
        <f t="shared" si="35"/>
        <v>329</v>
      </c>
      <c r="F345" s="1">
        <f t="shared" si="36"/>
        <v>71</v>
      </c>
      <c r="G345" s="1">
        <f t="shared" si="37"/>
        <v>2336.66</v>
      </c>
    </row>
    <row r="346" spans="1:7" x14ac:dyDescent="0.25">
      <c r="A346" s="1">
        <v>345</v>
      </c>
      <c r="B346">
        <v>0.54270259913734353</v>
      </c>
      <c r="C346" s="1">
        <f t="shared" si="33"/>
        <v>92</v>
      </c>
      <c r="D346" s="1">
        <f t="shared" si="34"/>
        <v>409</v>
      </c>
      <c r="E346" s="1">
        <f t="shared" si="35"/>
        <v>400</v>
      </c>
      <c r="F346" s="1">
        <f t="shared" si="36"/>
        <v>0</v>
      </c>
      <c r="G346" s="1">
        <f t="shared" si="37"/>
        <v>2872</v>
      </c>
    </row>
    <row r="347" spans="1:7" x14ac:dyDescent="0.25">
      <c r="A347" s="1">
        <v>346</v>
      </c>
      <c r="B347">
        <v>0.42144867621929316</v>
      </c>
      <c r="C347" s="1">
        <f t="shared" si="33"/>
        <v>117</v>
      </c>
      <c r="D347" s="1">
        <f t="shared" si="34"/>
        <v>384</v>
      </c>
      <c r="E347" s="1">
        <f t="shared" si="35"/>
        <v>384</v>
      </c>
      <c r="F347" s="1">
        <f t="shared" si="36"/>
        <v>16</v>
      </c>
      <c r="G347" s="1">
        <f t="shared" si="37"/>
        <v>2751.36</v>
      </c>
    </row>
    <row r="348" spans="1:7" x14ac:dyDescent="0.25">
      <c r="A348" s="1">
        <v>347</v>
      </c>
      <c r="B348">
        <v>0.90011447514516219</v>
      </c>
      <c r="C348" s="1">
        <f t="shared" si="33"/>
        <v>21</v>
      </c>
      <c r="D348" s="1">
        <f t="shared" si="34"/>
        <v>480</v>
      </c>
      <c r="E348" s="1">
        <f t="shared" si="35"/>
        <v>400</v>
      </c>
      <c r="F348" s="1">
        <f t="shared" si="36"/>
        <v>0</v>
      </c>
      <c r="G348" s="1">
        <f t="shared" si="37"/>
        <v>2872</v>
      </c>
    </row>
    <row r="349" spans="1:7" x14ac:dyDescent="0.25">
      <c r="A349" s="1">
        <v>348</v>
      </c>
      <c r="B349">
        <v>0.12593008912612058</v>
      </c>
      <c r="C349" s="1">
        <f t="shared" si="33"/>
        <v>176</v>
      </c>
      <c r="D349" s="1">
        <f t="shared" si="34"/>
        <v>325</v>
      </c>
      <c r="E349" s="1">
        <f t="shared" si="35"/>
        <v>325</v>
      </c>
      <c r="F349" s="1">
        <f t="shared" si="36"/>
        <v>75</v>
      </c>
      <c r="G349" s="1">
        <f t="shared" si="37"/>
        <v>2306.5</v>
      </c>
    </row>
    <row r="350" spans="1:7" x14ac:dyDescent="0.25">
      <c r="A350" s="1">
        <v>349</v>
      </c>
      <c r="B350">
        <v>0.31952981245276657</v>
      </c>
      <c r="C350" s="1">
        <f t="shared" si="33"/>
        <v>137</v>
      </c>
      <c r="D350" s="1">
        <f t="shared" si="34"/>
        <v>364</v>
      </c>
      <c r="E350" s="1">
        <f t="shared" si="35"/>
        <v>364</v>
      </c>
      <c r="F350" s="1">
        <f t="shared" si="36"/>
        <v>36</v>
      </c>
      <c r="G350" s="1">
        <f t="shared" si="37"/>
        <v>2600.56</v>
      </c>
    </row>
    <row r="351" spans="1:7" x14ac:dyDescent="0.25">
      <c r="A351" s="1">
        <v>350</v>
      </c>
      <c r="B351">
        <v>0.9436575789683328</v>
      </c>
      <c r="C351" s="1">
        <f t="shared" si="33"/>
        <v>12</v>
      </c>
      <c r="D351" s="1">
        <f t="shared" si="34"/>
        <v>489</v>
      </c>
      <c r="E351" s="1">
        <f t="shared" si="35"/>
        <v>400</v>
      </c>
      <c r="F351" s="1">
        <f t="shared" si="36"/>
        <v>0</v>
      </c>
      <c r="G351" s="1">
        <f t="shared" si="37"/>
        <v>2872</v>
      </c>
    </row>
    <row r="352" spans="1:7" x14ac:dyDescent="0.25">
      <c r="A352" s="1">
        <v>351</v>
      </c>
      <c r="B352">
        <v>0.41633540836290905</v>
      </c>
      <c r="C352" s="1">
        <f t="shared" si="33"/>
        <v>118</v>
      </c>
      <c r="D352" s="1">
        <f t="shared" si="34"/>
        <v>383</v>
      </c>
      <c r="E352" s="1">
        <f t="shared" si="35"/>
        <v>383</v>
      </c>
      <c r="F352" s="1">
        <f t="shared" si="36"/>
        <v>17</v>
      </c>
      <c r="G352" s="1">
        <f t="shared" si="37"/>
        <v>2743.82</v>
      </c>
    </row>
    <row r="353" spans="1:7" x14ac:dyDescent="0.25">
      <c r="A353" s="1">
        <v>352</v>
      </c>
      <c r="B353">
        <v>0.27715961465472105</v>
      </c>
      <c r="C353" s="1">
        <f t="shared" si="33"/>
        <v>146</v>
      </c>
      <c r="D353" s="1">
        <f t="shared" si="34"/>
        <v>355</v>
      </c>
      <c r="E353" s="1">
        <f t="shared" si="35"/>
        <v>355</v>
      </c>
      <c r="F353" s="1">
        <f t="shared" si="36"/>
        <v>45</v>
      </c>
      <c r="G353" s="1">
        <f t="shared" si="37"/>
        <v>2532.6999999999998</v>
      </c>
    </row>
    <row r="354" spans="1:7" x14ac:dyDescent="0.25">
      <c r="A354" s="1">
        <v>353</v>
      </c>
      <c r="B354">
        <v>0.16913837040401825</v>
      </c>
      <c r="C354" s="1">
        <f t="shared" si="33"/>
        <v>168</v>
      </c>
      <c r="D354" s="1">
        <f t="shared" si="34"/>
        <v>333</v>
      </c>
      <c r="E354" s="1">
        <f t="shared" si="35"/>
        <v>333</v>
      </c>
      <c r="F354" s="1">
        <f t="shared" si="36"/>
        <v>67</v>
      </c>
      <c r="G354" s="1">
        <f t="shared" si="37"/>
        <v>2366.8200000000002</v>
      </c>
    </row>
    <row r="355" spans="1:7" x14ac:dyDescent="0.25">
      <c r="A355" s="1">
        <v>354</v>
      </c>
      <c r="B355">
        <v>0.42326654179115164</v>
      </c>
      <c r="C355" s="1">
        <f t="shared" si="33"/>
        <v>116</v>
      </c>
      <c r="D355" s="1">
        <f t="shared" si="34"/>
        <v>385</v>
      </c>
      <c r="E355" s="1">
        <f t="shared" si="35"/>
        <v>385</v>
      </c>
      <c r="F355" s="1">
        <f t="shared" si="36"/>
        <v>15</v>
      </c>
      <c r="G355" s="1">
        <f t="shared" si="37"/>
        <v>2758.9</v>
      </c>
    </row>
    <row r="356" spans="1:7" x14ac:dyDescent="0.25">
      <c r="A356" s="1">
        <v>355</v>
      </c>
      <c r="B356">
        <v>0.16298845150487007</v>
      </c>
      <c r="C356" s="1">
        <f t="shared" si="33"/>
        <v>169</v>
      </c>
      <c r="D356" s="1">
        <f t="shared" si="34"/>
        <v>332</v>
      </c>
      <c r="E356" s="1">
        <f t="shared" si="35"/>
        <v>332</v>
      </c>
      <c r="F356" s="1">
        <f t="shared" si="36"/>
        <v>68</v>
      </c>
      <c r="G356" s="1">
        <f t="shared" si="37"/>
        <v>2359.2800000000002</v>
      </c>
    </row>
    <row r="357" spans="1:7" x14ac:dyDescent="0.25">
      <c r="A357" s="1">
        <v>356</v>
      </c>
      <c r="B357">
        <v>0.72595184009063507</v>
      </c>
      <c r="C357" s="1">
        <f t="shared" si="33"/>
        <v>56</v>
      </c>
      <c r="D357" s="1">
        <f t="shared" si="34"/>
        <v>445</v>
      </c>
      <c r="E357" s="1">
        <f t="shared" si="35"/>
        <v>400</v>
      </c>
      <c r="F357" s="1">
        <f t="shared" si="36"/>
        <v>0</v>
      </c>
      <c r="G357" s="1">
        <f t="shared" si="37"/>
        <v>2872</v>
      </c>
    </row>
    <row r="358" spans="1:7" x14ac:dyDescent="0.25">
      <c r="A358" s="1">
        <v>357</v>
      </c>
      <c r="B358">
        <v>0.34323909038514955</v>
      </c>
      <c r="C358" s="1">
        <f t="shared" si="33"/>
        <v>133</v>
      </c>
      <c r="D358" s="1">
        <f t="shared" si="34"/>
        <v>368</v>
      </c>
      <c r="E358" s="1">
        <f t="shared" si="35"/>
        <v>368</v>
      </c>
      <c r="F358" s="1">
        <f t="shared" si="36"/>
        <v>32</v>
      </c>
      <c r="G358" s="1">
        <f t="shared" si="37"/>
        <v>2630.72</v>
      </c>
    </row>
    <row r="359" spans="1:7" x14ac:dyDescent="0.25">
      <c r="A359" s="1">
        <v>358</v>
      </c>
      <c r="B359">
        <v>6.5044612453170392E-2</v>
      </c>
      <c r="C359" s="1">
        <f t="shared" si="33"/>
        <v>188</v>
      </c>
      <c r="D359" s="1">
        <f t="shared" si="34"/>
        <v>313</v>
      </c>
      <c r="E359" s="1">
        <f t="shared" si="35"/>
        <v>313</v>
      </c>
      <c r="F359" s="1">
        <f t="shared" si="36"/>
        <v>87</v>
      </c>
      <c r="G359" s="1">
        <f t="shared" si="37"/>
        <v>2216.02</v>
      </c>
    </row>
    <row r="360" spans="1:7" x14ac:dyDescent="0.25">
      <c r="A360" s="1">
        <v>359</v>
      </c>
      <c r="B360">
        <v>0.10584490996803297</v>
      </c>
      <c r="C360" s="1">
        <f t="shared" si="33"/>
        <v>180</v>
      </c>
      <c r="D360" s="1">
        <f t="shared" si="34"/>
        <v>321</v>
      </c>
      <c r="E360" s="1">
        <f t="shared" si="35"/>
        <v>321</v>
      </c>
      <c r="F360" s="1">
        <f t="shared" si="36"/>
        <v>79</v>
      </c>
      <c r="G360" s="1">
        <f t="shared" si="37"/>
        <v>2276.34</v>
      </c>
    </row>
    <row r="361" spans="1:7" x14ac:dyDescent="0.25">
      <c r="A361" s="1">
        <v>360</v>
      </c>
      <c r="B361">
        <v>0.31083149281042055</v>
      </c>
      <c r="C361" s="1">
        <f t="shared" si="33"/>
        <v>139</v>
      </c>
      <c r="D361" s="1">
        <f t="shared" si="34"/>
        <v>362</v>
      </c>
      <c r="E361" s="1">
        <f t="shared" si="35"/>
        <v>362</v>
      </c>
      <c r="F361" s="1">
        <f t="shared" si="36"/>
        <v>38</v>
      </c>
      <c r="G361" s="1">
        <f t="shared" si="37"/>
        <v>2585.48</v>
      </c>
    </row>
    <row r="362" spans="1:7" x14ac:dyDescent="0.25">
      <c r="A362" s="1">
        <v>361</v>
      </c>
      <c r="B362">
        <v>0.96471136644945843</v>
      </c>
      <c r="C362" s="1">
        <f t="shared" si="33"/>
        <v>8</v>
      </c>
      <c r="D362" s="1">
        <f t="shared" si="34"/>
        <v>493</v>
      </c>
      <c r="E362" s="1">
        <f t="shared" si="35"/>
        <v>400</v>
      </c>
      <c r="F362" s="1">
        <f t="shared" si="36"/>
        <v>0</v>
      </c>
      <c r="G362" s="1">
        <f t="shared" si="37"/>
        <v>2872</v>
      </c>
    </row>
    <row r="363" spans="1:7" x14ac:dyDescent="0.25">
      <c r="A363" s="1">
        <v>362</v>
      </c>
      <c r="B363">
        <v>1.9689037954992772E-2</v>
      </c>
      <c r="C363" s="1">
        <f t="shared" si="33"/>
        <v>198</v>
      </c>
      <c r="D363" s="1">
        <f t="shared" si="34"/>
        <v>303</v>
      </c>
      <c r="E363" s="1">
        <f t="shared" si="35"/>
        <v>303</v>
      </c>
      <c r="F363" s="1">
        <f t="shared" si="36"/>
        <v>97</v>
      </c>
      <c r="G363" s="1">
        <f t="shared" si="37"/>
        <v>2140.62</v>
      </c>
    </row>
    <row r="364" spans="1:7" x14ac:dyDescent="0.25">
      <c r="A364" s="1">
        <v>363</v>
      </c>
      <c r="B364">
        <v>0.97773995670528469</v>
      </c>
      <c r="C364" s="1">
        <f t="shared" si="33"/>
        <v>5</v>
      </c>
      <c r="D364" s="1">
        <f t="shared" si="34"/>
        <v>496</v>
      </c>
      <c r="E364" s="1">
        <f t="shared" si="35"/>
        <v>400</v>
      </c>
      <c r="F364" s="1">
        <f t="shared" si="36"/>
        <v>0</v>
      </c>
      <c r="G364" s="1">
        <f t="shared" si="37"/>
        <v>2872</v>
      </c>
    </row>
    <row r="365" spans="1:7" x14ac:dyDescent="0.25">
      <c r="A365" s="1">
        <v>364</v>
      </c>
      <c r="B365">
        <v>0.61959421967595341</v>
      </c>
      <c r="C365" s="1">
        <f t="shared" si="33"/>
        <v>77</v>
      </c>
      <c r="D365" s="1">
        <f t="shared" si="34"/>
        <v>424</v>
      </c>
      <c r="E365" s="1">
        <f t="shared" si="35"/>
        <v>400</v>
      </c>
      <c r="F365" s="1">
        <f t="shared" si="36"/>
        <v>0</v>
      </c>
      <c r="G365" s="1">
        <f t="shared" si="37"/>
        <v>2872</v>
      </c>
    </row>
    <row r="366" spans="1:7" x14ac:dyDescent="0.25">
      <c r="A366" s="1">
        <v>365</v>
      </c>
      <c r="B366">
        <v>0.66921214742368962</v>
      </c>
      <c r="C366" s="1">
        <f t="shared" si="33"/>
        <v>67</v>
      </c>
      <c r="D366" s="1">
        <f t="shared" si="34"/>
        <v>434</v>
      </c>
      <c r="E366" s="1">
        <f t="shared" si="35"/>
        <v>400</v>
      </c>
      <c r="F366" s="1">
        <f t="shared" si="36"/>
        <v>0</v>
      </c>
      <c r="G366" s="1">
        <f t="shared" si="37"/>
        <v>2872</v>
      </c>
    </row>
    <row r="367" spans="1:7" x14ac:dyDescent="0.25">
      <c r="A367" s="1">
        <v>366</v>
      </c>
      <c r="B367">
        <v>0.30510099450347949</v>
      </c>
      <c r="C367" s="1">
        <f t="shared" si="33"/>
        <v>140</v>
      </c>
      <c r="D367" s="1">
        <f t="shared" si="34"/>
        <v>361</v>
      </c>
      <c r="E367" s="1">
        <f t="shared" si="35"/>
        <v>361</v>
      </c>
      <c r="F367" s="1">
        <f t="shared" si="36"/>
        <v>39</v>
      </c>
      <c r="G367" s="1">
        <f t="shared" si="37"/>
        <v>2577.94</v>
      </c>
    </row>
    <row r="368" spans="1:7" x14ac:dyDescent="0.25">
      <c r="A368" s="1">
        <v>367</v>
      </c>
      <c r="B368">
        <v>2.2409924314927498E-2</v>
      </c>
      <c r="C368" s="1">
        <f t="shared" si="33"/>
        <v>197</v>
      </c>
      <c r="D368" s="1">
        <f t="shared" si="34"/>
        <v>304</v>
      </c>
      <c r="E368" s="1">
        <f t="shared" si="35"/>
        <v>304</v>
      </c>
      <c r="F368" s="1">
        <f t="shared" si="36"/>
        <v>96</v>
      </c>
      <c r="G368" s="1">
        <f t="shared" si="37"/>
        <v>2148.16</v>
      </c>
    </row>
    <row r="369" spans="1:7" x14ac:dyDescent="0.25">
      <c r="A369" s="1">
        <v>368</v>
      </c>
      <c r="B369">
        <v>0.67855948530702503</v>
      </c>
      <c r="C369" s="1">
        <f t="shared" si="33"/>
        <v>65</v>
      </c>
      <c r="D369" s="1">
        <f t="shared" si="34"/>
        <v>436</v>
      </c>
      <c r="E369" s="1">
        <f t="shared" si="35"/>
        <v>400</v>
      </c>
      <c r="F369" s="1">
        <f t="shared" si="36"/>
        <v>0</v>
      </c>
      <c r="G369" s="1">
        <f t="shared" si="37"/>
        <v>2872</v>
      </c>
    </row>
    <row r="370" spans="1:7" x14ac:dyDescent="0.25">
      <c r="A370" s="1">
        <v>369</v>
      </c>
      <c r="B370">
        <v>0.79676697678670327</v>
      </c>
      <c r="C370" s="1">
        <f t="shared" si="33"/>
        <v>41</v>
      </c>
      <c r="D370" s="1">
        <f t="shared" si="34"/>
        <v>460</v>
      </c>
      <c r="E370" s="1">
        <f t="shared" si="35"/>
        <v>400</v>
      </c>
      <c r="F370" s="1">
        <f t="shared" si="36"/>
        <v>0</v>
      </c>
      <c r="G370" s="1">
        <f t="shared" si="37"/>
        <v>2872</v>
      </c>
    </row>
    <row r="371" spans="1:7" x14ac:dyDescent="0.25">
      <c r="A371" s="1">
        <v>370</v>
      </c>
      <c r="B371">
        <v>0.53296166696922587</v>
      </c>
      <c r="C371" s="1">
        <f t="shared" si="33"/>
        <v>94</v>
      </c>
      <c r="D371" s="1">
        <f t="shared" si="34"/>
        <v>407</v>
      </c>
      <c r="E371" s="1">
        <f t="shared" si="35"/>
        <v>400</v>
      </c>
      <c r="F371" s="1">
        <f t="shared" si="36"/>
        <v>0</v>
      </c>
      <c r="G371" s="1">
        <f t="shared" si="37"/>
        <v>2872</v>
      </c>
    </row>
    <row r="372" spans="1:7" x14ac:dyDescent="0.25">
      <c r="A372" s="1">
        <v>371</v>
      </c>
      <c r="B372">
        <v>0.33776488831929197</v>
      </c>
      <c r="C372" s="1">
        <f t="shared" si="33"/>
        <v>134</v>
      </c>
      <c r="D372" s="1">
        <f t="shared" si="34"/>
        <v>367</v>
      </c>
      <c r="E372" s="1">
        <f t="shared" si="35"/>
        <v>367</v>
      </c>
      <c r="F372" s="1">
        <f t="shared" si="36"/>
        <v>33</v>
      </c>
      <c r="G372" s="1">
        <f t="shared" si="37"/>
        <v>2623.18</v>
      </c>
    </row>
    <row r="373" spans="1:7" x14ac:dyDescent="0.25">
      <c r="A373" s="1">
        <v>372</v>
      </c>
      <c r="B373">
        <v>4.2252691394836339E-2</v>
      </c>
      <c r="C373" s="1">
        <f t="shared" si="33"/>
        <v>193</v>
      </c>
      <c r="D373" s="1">
        <f t="shared" si="34"/>
        <v>308</v>
      </c>
      <c r="E373" s="1">
        <f t="shared" si="35"/>
        <v>308</v>
      </c>
      <c r="F373" s="1">
        <f t="shared" si="36"/>
        <v>92</v>
      </c>
      <c r="G373" s="1">
        <f t="shared" si="37"/>
        <v>2178.3200000000002</v>
      </c>
    </row>
    <row r="374" spans="1:7" x14ac:dyDescent="0.25">
      <c r="A374" s="1">
        <v>373</v>
      </c>
      <c r="B374">
        <v>0.21633410704735245</v>
      </c>
      <c r="C374" s="1">
        <f t="shared" si="33"/>
        <v>158</v>
      </c>
      <c r="D374" s="1">
        <f t="shared" si="34"/>
        <v>343</v>
      </c>
      <c r="E374" s="1">
        <f t="shared" si="35"/>
        <v>343</v>
      </c>
      <c r="F374" s="1">
        <f t="shared" si="36"/>
        <v>57</v>
      </c>
      <c r="G374" s="1">
        <f t="shared" si="37"/>
        <v>2442.2199999999998</v>
      </c>
    </row>
    <row r="375" spans="1:7" x14ac:dyDescent="0.25">
      <c r="A375" s="1">
        <v>374</v>
      </c>
      <c r="B375">
        <v>0.63729757616744165</v>
      </c>
      <c r="C375" s="1">
        <f t="shared" si="33"/>
        <v>73</v>
      </c>
      <c r="D375" s="1">
        <f t="shared" si="34"/>
        <v>428</v>
      </c>
      <c r="E375" s="1">
        <f t="shared" si="35"/>
        <v>400</v>
      </c>
      <c r="F375" s="1">
        <f t="shared" si="36"/>
        <v>0</v>
      </c>
      <c r="G375" s="1">
        <f t="shared" si="37"/>
        <v>2872</v>
      </c>
    </row>
    <row r="376" spans="1:7" x14ac:dyDescent="0.25">
      <c r="A376" s="1">
        <v>375</v>
      </c>
      <c r="B376">
        <v>0.72097057954718768</v>
      </c>
      <c r="C376" s="1">
        <f t="shared" si="33"/>
        <v>57</v>
      </c>
      <c r="D376" s="1">
        <f t="shared" si="34"/>
        <v>444</v>
      </c>
      <c r="E376" s="1">
        <f t="shared" si="35"/>
        <v>400</v>
      </c>
      <c r="F376" s="1">
        <f t="shared" si="36"/>
        <v>0</v>
      </c>
      <c r="G376" s="1">
        <f t="shared" si="37"/>
        <v>2872</v>
      </c>
    </row>
    <row r="377" spans="1:7" x14ac:dyDescent="0.25">
      <c r="A377" s="1">
        <v>376</v>
      </c>
      <c r="B377">
        <v>0.86212631908574933</v>
      </c>
      <c r="C377" s="1">
        <f t="shared" si="33"/>
        <v>28</v>
      </c>
      <c r="D377" s="1">
        <f t="shared" si="34"/>
        <v>473</v>
      </c>
      <c r="E377" s="1">
        <f t="shared" si="35"/>
        <v>400</v>
      </c>
      <c r="F377" s="1">
        <f t="shared" si="36"/>
        <v>0</v>
      </c>
      <c r="G377" s="1">
        <f t="shared" si="37"/>
        <v>2872</v>
      </c>
    </row>
    <row r="378" spans="1:7" x14ac:dyDescent="0.25">
      <c r="A378" s="1">
        <v>377</v>
      </c>
      <c r="B378">
        <v>0.97777029218958478</v>
      </c>
      <c r="C378" s="1">
        <f t="shared" si="33"/>
        <v>5</v>
      </c>
      <c r="D378" s="1">
        <f t="shared" si="34"/>
        <v>496</v>
      </c>
      <c r="E378" s="1">
        <f t="shared" si="35"/>
        <v>400</v>
      </c>
      <c r="F378" s="1">
        <f t="shared" si="36"/>
        <v>0</v>
      </c>
      <c r="G378" s="1">
        <f t="shared" si="37"/>
        <v>2872</v>
      </c>
    </row>
    <row r="379" spans="1:7" x14ac:dyDescent="0.25">
      <c r="A379" s="1">
        <v>378</v>
      </c>
      <c r="B379">
        <v>0.82135998380144937</v>
      </c>
      <c r="C379" s="1">
        <f t="shared" si="33"/>
        <v>36</v>
      </c>
      <c r="D379" s="1">
        <f t="shared" si="34"/>
        <v>465</v>
      </c>
      <c r="E379" s="1">
        <f t="shared" si="35"/>
        <v>400</v>
      </c>
      <c r="F379" s="1">
        <f t="shared" si="36"/>
        <v>0</v>
      </c>
      <c r="G379" s="1">
        <f t="shared" si="37"/>
        <v>2872</v>
      </c>
    </row>
    <row r="380" spans="1:7" x14ac:dyDescent="0.25">
      <c r="A380" s="1">
        <v>379</v>
      </c>
      <c r="B380">
        <v>0.35796135272165075</v>
      </c>
      <c r="C380" s="1">
        <f t="shared" si="33"/>
        <v>130</v>
      </c>
      <c r="D380" s="1">
        <f t="shared" si="34"/>
        <v>371</v>
      </c>
      <c r="E380" s="1">
        <f t="shared" si="35"/>
        <v>371</v>
      </c>
      <c r="F380" s="1">
        <f t="shared" si="36"/>
        <v>29</v>
      </c>
      <c r="G380" s="1">
        <f t="shared" si="37"/>
        <v>2653.34</v>
      </c>
    </row>
    <row r="381" spans="1:7" x14ac:dyDescent="0.25">
      <c r="A381" s="1">
        <v>380</v>
      </c>
      <c r="B381">
        <v>5.0075093405338778E-2</v>
      </c>
      <c r="C381" s="1">
        <f t="shared" si="33"/>
        <v>191</v>
      </c>
      <c r="D381" s="1">
        <f t="shared" si="34"/>
        <v>310</v>
      </c>
      <c r="E381" s="1">
        <f t="shared" si="35"/>
        <v>310</v>
      </c>
      <c r="F381" s="1">
        <f t="shared" si="36"/>
        <v>90</v>
      </c>
      <c r="G381" s="1">
        <f t="shared" si="37"/>
        <v>2193.4</v>
      </c>
    </row>
    <row r="382" spans="1:7" x14ac:dyDescent="0.25">
      <c r="A382" s="1">
        <v>381</v>
      </c>
      <c r="B382">
        <v>0.64273370474906355</v>
      </c>
      <c r="C382" s="1">
        <f t="shared" si="33"/>
        <v>72</v>
      </c>
      <c r="D382" s="1">
        <f t="shared" si="34"/>
        <v>429</v>
      </c>
      <c r="E382" s="1">
        <f t="shared" si="35"/>
        <v>400</v>
      </c>
      <c r="F382" s="1">
        <f t="shared" si="36"/>
        <v>0</v>
      </c>
      <c r="G382" s="1">
        <f t="shared" si="37"/>
        <v>2872</v>
      </c>
    </row>
    <row r="383" spans="1:7" x14ac:dyDescent="0.25">
      <c r="A383" s="1">
        <v>382</v>
      </c>
      <c r="B383">
        <v>0.29893509171569888</v>
      </c>
      <c r="C383" s="1">
        <f t="shared" si="33"/>
        <v>141</v>
      </c>
      <c r="D383" s="1">
        <f t="shared" si="34"/>
        <v>360</v>
      </c>
      <c r="E383" s="1">
        <f t="shared" si="35"/>
        <v>360</v>
      </c>
      <c r="F383" s="1">
        <f t="shared" si="36"/>
        <v>40</v>
      </c>
      <c r="G383" s="1">
        <f t="shared" si="37"/>
        <v>2570.4</v>
      </c>
    </row>
    <row r="384" spans="1:7" x14ac:dyDescent="0.25">
      <c r="A384" s="1">
        <v>383</v>
      </c>
      <c r="B384">
        <v>0.91265244242854515</v>
      </c>
      <c r="C384" s="1">
        <f t="shared" si="33"/>
        <v>18</v>
      </c>
      <c r="D384" s="1">
        <f t="shared" si="34"/>
        <v>483</v>
      </c>
      <c r="E384" s="1">
        <f t="shared" si="35"/>
        <v>400</v>
      </c>
      <c r="F384" s="1">
        <f t="shared" si="36"/>
        <v>0</v>
      </c>
      <c r="G384" s="1">
        <f t="shared" si="37"/>
        <v>2872</v>
      </c>
    </row>
    <row r="385" spans="1:7" x14ac:dyDescent="0.25">
      <c r="A385" s="1">
        <v>384</v>
      </c>
      <c r="B385">
        <v>0.45253012073595722</v>
      </c>
      <c r="C385" s="1">
        <f t="shared" si="33"/>
        <v>111</v>
      </c>
      <c r="D385" s="1">
        <f t="shared" si="34"/>
        <v>390</v>
      </c>
      <c r="E385" s="1">
        <f t="shared" si="35"/>
        <v>390</v>
      </c>
      <c r="F385" s="1">
        <f t="shared" si="36"/>
        <v>10</v>
      </c>
      <c r="G385" s="1">
        <f t="shared" si="37"/>
        <v>2796.6</v>
      </c>
    </row>
    <row r="386" spans="1:7" x14ac:dyDescent="0.25">
      <c r="A386" s="1">
        <v>385</v>
      </c>
      <c r="B386">
        <v>0.61622820523684241</v>
      </c>
      <c r="C386" s="1">
        <f t="shared" ref="C386:C449" si="38">MATCH(B386,$N$2:$N$202,-1)</f>
        <v>78</v>
      </c>
      <c r="D386" s="1">
        <f t="shared" ref="D386:D449" si="39">INDEX($L$2:$L$202,C386)</f>
        <v>423</v>
      </c>
      <c r="E386" s="1">
        <f t="shared" si="35"/>
        <v>400</v>
      </c>
      <c r="F386" s="1">
        <f t="shared" si="36"/>
        <v>0</v>
      </c>
      <c r="G386" s="1">
        <f t="shared" si="37"/>
        <v>2872</v>
      </c>
    </row>
    <row r="387" spans="1:7" x14ac:dyDescent="0.25">
      <c r="A387" s="1">
        <v>386</v>
      </c>
      <c r="B387">
        <v>0.3407574228133653</v>
      </c>
      <c r="C387" s="1">
        <f t="shared" si="38"/>
        <v>133</v>
      </c>
      <c r="D387" s="1">
        <f t="shared" si="39"/>
        <v>368</v>
      </c>
      <c r="E387" s="1">
        <f t="shared" ref="E387:E450" si="40">MIN(D387,$I$2)</f>
        <v>368</v>
      </c>
      <c r="F387" s="1">
        <f t="shared" ref="F387:F450" si="41">$I$2-E387</f>
        <v>32</v>
      </c>
      <c r="G387" s="1">
        <f t="shared" ref="G387:G450" si="42">7.5*E387-$I$2/25*8-F387/25*1</f>
        <v>2630.72</v>
      </c>
    </row>
    <row r="388" spans="1:7" x14ac:dyDescent="0.25">
      <c r="A388" s="1">
        <v>387</v>
      </c>
      <c r="B388">
        <v>0.55338228683449353</v>
      </c>
      <c r="C388" s="1">
        <f t="shared" si="38"/>
        <v>90</v>
      </c>
      <c r="D388" s="1">
        <f t="shared" si="39"/>
        <v>411</v>
      </c>
      <c r="E388" s="1">
        <f t="shared" si="40"/>
        <v>400</v>
      </c>
      <c r="F388" s="1">
        <f t="shared" si="41"/>
        <v>0</v>
      </c>
      <c r="G388" s="1">
        <f t="shared" si="42"/>
        <v>2872</v>
      </c>
    </row>
    <row r="389" spans="1:7" x14ac:dyDescent="0.25">
      <c r="A389" s="1">
        <v>388</v>
      </c>
      <c r="B389">
        <v>0.89681210017880109</v>
      </c>
      <c r="C389" s="1">
        <f t="shared" si="38"/>
        <v>21</v>
      </c>
      <c r="D389" s="1">
        <f t="shared" si="39"/>
        <v>480</v>
      </c>
      <c r="E389" s="1">
        <f t="shared" si="40"/>
        <v>400</v>
      </c>
      <c r="F389" s="1">
        <f t="shared" si="41"/>
        <v>0</v>
      </c>
      <c r="G389" s="1">
        <f t="shared" si="42"/>
        <v>2872</v>
      </c>
    </row>
    <row r="390" spans="1:7" x14ac:dyDescent="0.25">
      <c r="A390" s="1">
        <v>389</v>
      </c>
      <c r="B390">
        <v>0.27916398739375592</v>
      </c>
      <c r="C390" s="1">
        <f t="shared" si="38"/>
        <v>145</v>
      </c>
      <c r="D390" s="1">
        <f t="shared" si="39"/>
        <v>356</v>
      </c>
      <c r="E390" s="1">
        <f t="shared" si="40"/>
        <v>356</v>
      </c>
      <c r="F390" s="1">
        <f t="shared" si="41"/>
        <v>44</v>
      </c>
      <c r="G390" s="1">
        <f t="shared" si="42"/>
        <v>2540.2399999999998</v>
      </c>
    </row>
    <row r="391" spans="1:7" x14ac:dyDescent="0.25">
      <c r="A391" s="1">
        <v>390</v>
      </c>
      <c r="B391">
        <v>0.71775125004718388</v>
      </c>
      <c r="C391" s="1">
        <f t="shared" si="38"/>
        <v>57</v>
      </c>
      <c r="D391" s="1">
        <f t="shared" si="39"/>
        <v>444</v>
      </c>
      <c r="E391" s="1">
        <f t="shared" si="40"/>
        <v>400</v>
      </c>
      <c r="F391" s="1">
        <f t="shared" si="41"/>
        <v>0</v>
      </c>
      <c r="G391" s="1">
        <f t="shared" si="42"/>
        <v>2872</v>
      </c>
    </row>
    <row r="392" spans="1:7" x14ac:dyDescent="0.25">
      <c r="A392" s="1">
        <v>391</v>
      </c>
      <c r="B392">
        <v>0.37753113538656258</v>
      </c>
      <c r="C392" s="1">
        <f t="shared" si="38"/>
        <v>126</v>
      </c>
      <c r="D392" s="1">
        <f t="shared" si="39"/>
        <v>375</v>
      </c>
      <c r="E392" s="1">
        <f t="shared" si="40"/>
        <v>375</v>
      </c>
      <c r="F392" s="1">
        <f t="shared" si="41"/>
        <v>25</v>
      </c>
      <c r="G392" s="1">
        <f t="shared" si="42"/>
        <v>2683.5</v>
      </c>
    </row>
    <row r="393" spans="1:7" x14ac:dyDescent="0.25">
      <c r="A393" s="1">
        <v>392</v>
      </c>
      <c r="B393">
        <v>0.93518755085896343</v>
      </c>
      <c r="C393" s="1">
        <f t="shared" si="38"/>
        <v>14</v>
      </c>
      <c r="D393" s="1">
        <f t="shared" si="39"/>
        <v>487</v>
      </c>
      <c r="E393" s="1">
        <f t="shared" si="40"/>
        <v>400</v>
      </c>
      <c r="F393" s="1">
        <f t="shared" si="41"/>
        <v>0</v>
      </c>
      <c r="G393" s="1">
        <f t="shared" si="42"/>
        <v>2872</v>
      </c>
    </row>
    <row r="394" spans="1:7" x14ac:dyDescent="0.25">
      <c r="A394" s="1">
        <v>393</v>
      </c>
      <c r="B394">
        <v>0.72413178457540228</v>
      </c>
      <c r="C394" s="1">
        <f t="shared" si="38"/>
        <v>56</v>
      </c>
      <c r="D394" s="1">
        <f t="shared" si="39"/>
        <v>445</v>
      </c>
      <c r="E394" s="1">
        <f t="shared" si="40"/>
        <v>400</v>
      </c>
      <c r="F394" s="1">
        <f t="shared" si="41"/>
        <v>0</v>
      </c>
      <c r="G394" s="1">
        <f t="shared" si="42"/>
        <v>2872</v>
      </c>
    </row>
    <row r="395" spans="1:7" x14ac:dyDescent="0.25">
      <c r="A395" s="1">
        <v>394</v>
      </c>
      <c r="B395">
        <v>6.4498091773387389E-2</v>
      </c>
      <c r="C395" s="1">
        <f t="shared" si="38"/>
        <v>189</v>
      </c>
      <c r="D395" s="1">
        <f t="shared" si="39"/>
        <v>312</v>
      </c>
      <c r="E395" s="1">
        <f t="shared" si="40"/>
        <v>312</v>
      </c>
      <c r="F395" s="1">
        <f t="shared" si="41"/>
        <v>88</v>
      </c>
      <c r="G395" s="1">
        <f t="shared" si="42"/>
        <v>2208.48</v>
      </c>
    </row>
    <row r="396" spans="1:7" x14ac:dyDescent="0.25">
      <c r="A396" s="1">
        <v>395</v>
      </c>
      <c r="B396">
        <v>0.45819804358957394</v>
      </c>
      <c r="C396" s="1">
        <f t="shared" si="38"/>
        <v>109</v>
      </c>
      <c r="D396" s="1">
        <f t="shared" si="39"/>
        <v>392</v>
      </c>
      <c r="E396" s="1">
        <f t="shared" si="40"/>
        <v>392</v>
      </c>
      <c r="F396" s="1">
        <f t="shared" si="41"/>
        <v>8</v>
      </c>
      <c r="G396" s="1">
        <f t="shared" si="42"/>
        <v>2811.68</v>
      </c>
    </row>
    <row r="397" spans="1:7" x14ac:dyDescent="0.25">
      <c r="A397" s="1">
        <v>396</v>
      </c>
      <c r="B397">
        <v>0.33250573620250068</v>
      </c>
      <c r="C397" s="1">
        <f t="shared" si="38"/>
        <v>135</v>
      </c>
      <c r="D397" s="1">
        <f t="shared" si="39"/>
        <v>366</v>
      </c>
      <c r="E397" s="1">
        <f t="shared" si="40"/>
        <v>366</v>
      </c>
      <c r="F397" s="1">
        <f t="shared" si="41"/>
        <v>34</v>
      </c>
      <c r="G397" s="1">
        <f t="shared" si="42"/>
        <v>2615.64</v>
      </c>
    </row>
    <row r="398" spans="1:7" x14ac:dyDescent="0.25">
      <c r="A398" s="1">
        <v>397</v>
      </c>
      <c r="B398">
        <v>0.6669749627896796</v>
      </c>
      <c r="C398" s="1">
        <f t="shared" si="38"/>
        <v>67</v>
      </c>
      <c r="D398" s="1">
        <f t="shared" si="39"/>
        <v>434</v>
      </c>
      <c r="E398" s="1">
        <f t="shared" si="40"/>
        <v>400</v>
      </c>
      <c r="F398" s="1">
        <f t="shared" si="41"/>
        <v>0</v>
      </c>
      <c r="G398" s="1">
        <f t="shared" si="42"/>
        <v>2872</v>
      </c>
    </row>
    <row r="399" spans="1:7" x14ac:dyDescent="0.25">
      <c r="A399" s="1">
        <v>398</v>
      </c>
      <c r="B399">
        <v>0.38018056360603181</v>
      </c>
      <c r="C399" s="1">
        <f t="shared" si="38"/>
        <v>125</v>
      </c>
      <c r="D399" s="1">
        <f t="shared" si="39"/>
        <v>376</v>
      </c>
      <c r="E399" s="1">
        <f t="shared" si="40"/>
        <v>376</v>
      </c>
      <c r="F399" s="1">
        <f t="shared" si="41"/>
        <v>24</v>
      </c>
      <c r="G399" s="1">
        <f t="shared" si="42"/>
        <v>2691.04</v>
      </c>
    </row>
    <row r="400" spans="1:7" x14ac:dyDescent="0.25">
      <c r="A400" s="1">
        <v>399</v>
      </c>
      <c r="B400">
        <v>0.94010031773061242</v>
      </c>
      <c r="C400" s="1">
        <f t="shared" si="38"/>
        <v>13</v>
      </c>
      <c r="D400" s="1">
        <f t="shared" si="39"/>
        <v>488</v>
      </c>
      <c r="E400" s="1">
        <f t="shared" si="40"/>
        <v>400</v>
      </c>
      <c r="F400" s="1">
        <f t="shared" si="41"/>
        <v>0</v>
      </c>
      <c r="G400" s="1">
        <f t="shared" si="42"/>
        <v>2872</v>
      </c>
    </row>
    <row r="401" spans="1:7" x14ac:dyDescent="0.25">
      <c r="A401" s="1">
        <v>400</v>
      </c>
      <c r="B401">
        <v>0.68349159276580251</v>
      </c>
      <c r="C401" s="1">
        <f t="shared" si="38"/>
        <v>64</v>
      </c>
      <c r="D401" s="1">
        <f t="shared" si="39"/>
        <v>437</v>
      </c>
      <c r="E401" s="1">
        <f t="shared" si="40"/>
        <v>400</v>
      </c>
      <c r="F401" s="1">
        <f t="shared" si="41"/>
        <v>0</v>
      </c>
      <c r="G401" s="1">
        <f t="shared" si="42"/>
        <v>2872</v>
      </c>
    </row>
    <row r="402" spans="1:7" x14ac:dyDescent="0.25">
      <c r="A402" s="1">
        <v>401</v>
      </c>
      <c r="B402">
        <v>0.56618388152628452</v>
      </c>
      <c r="C402" s="1">
        <f t="shared" si="38"/>
        <v>88</v>
      </c>
      <c r="D402" s="1">
        <f t="shared" si="39"/>
        <v>413</v>
      </c>
      <c r="E402" s="1">
        <f t="shared" si="40"/>
        <v>400</v>
      </c>
      <c r="F402" s="1">
        <f t="shared" si="41"/>
        <v>0</v>
      </c>
      <c r="G402" s="1">
        <f t="shared" si="42"/>
        <v>2872</v>
      </c>
    </row>
    <row r="403" spans="1:7" x14ac:dyDescent="0.25">
      <c r="A403" s="1">
        <v>402</v>
      </c>
      <c r="B403">
        <v>0.18928494812542196</v>
      </c>
      <c r="C403" s="1">
        <f t="shared" si="38"/>
        <v>163</v>
      </c>
      <c r="D403" s="1">
        <f t="shared" si="39"/>
        <v>338</v>
      </c>
      <c r="E403" s="1">
        <f t="shared" si="40"/>
        <v>338</v>
      </c>
      <c r="F403" s="1">
        <f t="shared" si="41"/>
        <v>62</v>
      </c>
      <c r="G403" s="1">
        <f t="shared" si="42"/>
        <v>2404.52</v>
      </c>
    </row>
    <row r="404" spans="1:7" x14ac:dyDescent="0.25">
      <c r="A404" s="1">
        <v>403</v>
      </c>
      <c r="B404">
        <v>0.51835184139497836</v>
      </c>
      <c r="C404" s="1">
        <f t="shared" si="38"/>
        <v>97</v>
      </c>
      <c r="D404" s="1">
        <f t="shared" si="39"/>
        <v>404</v>
      </c>
      <c r="E404" s="1">
        <f t="shared" si="40"/>
        <v>400</v>
      </c>
      <c r="F404" s="1">
        <f t="shared" si="41"/>
        <v>0</v>
      </c>
      <c r="G404" s="1">
        <f t="shared" si="42"/>
        <v>2872</v>
      </c>
    </row>
    <row r="405" spans="1:7" x14ac:dyDescent="0.25">
      <c r="A405" s="1">
        <v>404</v>
      </c>
      <c r="B405">
        <v>0.36827099822888565</v>
      </c>
      <c r="C405" s="1">
        <f t="shared" si="38"/>
        <v>127</v>
      </c>
      <c r="D405" s="1">
        <f t="shared" si="39"/>
        <v>374</v>
      </c>
      <c r="E405" s="1">
        <f t="shared" si="40"/>
        <v>374</v>
      </c>
      <c r="F405" s="1">
        <f t="shared" si="41"/>
        <v>26</v>
      </c>
      <c r="G405" s="1">
        <f t="shared" si="42"/>
        <v>2675.96</v>
      </c>
    </row>
    <row r="406" spans="1:7" x14ac:dyDescent="0.25">
      <c r="A406" s="1">
        <v>405</v>
      </c>
      <c r="B406">
        <v>0.67542995947672435</v>
      </c>
      <c r="C406" s="1">
        <f t="shared" si="38"/>
        <v>66</v>
      </c>
      <c r="D406" s="1">
        <f t="shared" si="39"/>
        <v>435</v>
      </c>
      <c r="E406" s="1">
        <f t="shared" si="40"/>
        <v>400</v>
      </c>
      <c r="F406" s="1">
        <f t="shared" si="41"/>
        <v>0</v>
      </c>
      <c r="G406" s="1">
        <f t="shared" si="42"/>
        <v>2872</v>
      </c>
    </row>
    <row r="407" spans="1:7" x14ac:dyDescent="0.25">
      <c r="A407" s="1">
        <v>406</v>
      </c>
      <c r="B407">
        <v>0.36066716065389381</v>
      </c>
      <c r="C407" s="1">
        <f t="shared" si="38"/>
        <v>129</v>
      </c>
      <c r="D407" s="1">
        <f t="shared" si="39"/>
        <v>372</v>
      </c>
      <c r="E407" s="1">
        <f t="shared" si="40"/>
        <v>372</v>
      </c>
      <c r="F407" s="1">
        <f t="shared" si="41"/>
        <v>28</v>
      </c>
      <c r="G407" s="1">
        <f t="shared" si="42"/>
        <v>2660.88</v>
      </c>
    </row>
    <row r="408" spans="1:7" x14ac:dyDescent="0.25">
      <c r="A408" s="1">
        <v>407</v>
      </c>
      <c r="B408">
        <v>0.3578422375123067</v>
      </c>
      <c r="C408" s="1">
        <f t="shared" si="38"/>
        <v>130</v>
      </c>
      <c r="D408" s="1">
        <f t="shared" si="39"/>
        <v>371</v>
      </c>
      <c r="E408" s="1">
        <f t="shared" si="40"/>
        <v>371</v>
      </c>
      <c r="F408" s="1">
        <f t="shared" si="41"/>
        <v>29</v>
      </c>
      <c r="G408" s="1">
        <f t="shared" si="42"/>
        <v>2653.34</v>
      </c>
    </row>
    <row r="409" spans="1:7" x14ac:dyDescent="0.25">
      <c r="A409" s="1">
        <v>408</v>
      </c>
      <c r="B409">
        <v>0.46123713234021901</v>
      </c>
      <c r="C409" s="1">
        <f t="shared" si="38"/>
        <v>109</v>
      </c>
      <c r="D409" s="1">
        <f t="shared" si="39"/>
        <v>392</v>
      </c>
      <c r="E409" s="1">
        <f t="shared" si="40"/>
        <v>392</v>
      </c>
      <c r="F409" s="1">
        <f t="shared" si="41"/>
        <v>8</v>
      </c>
      <c r="G409" s="1">
        <f t="shared" si="42"/>
        <v>2811.68</v>
      </c>
    </row>
    <row r="410" spans="1:7" x14ac:dyDescent="0.25">
      <c r="A410" s="1">
        <v>409</v>
      </c>
      <c r="B410">
        <v>0.74795331191289083</v>
      </c>
      <c r="C410" s="1">
        <f t="shared" si="38"/>
        <v>51</v>
      </c>
      <c r="D410" s="1">
        <f t="shared" si="39"/>
        <v>450</v>
      </c>
      <c r="E410" s="1">
        <f t="shared" si="40"/>
        <v>400</v>
      </c>
      <c r="F410" s="1">
        <f t="shared" si="41"/>
        <v>0</v>
      </c>
      <c r="G410" s="1">
        <f t="shared" si="42"/>
        <v>2872</v>
      </c>
    </row>
    <row r="411" spans="1:7" x14ac:dyDescent="0.25">
      <c r="A411" s="1">
        <v>410</v>
      </c>
      <c r="B411">
        <v>0.93009588141216981</v>
      </c>
      <c r="C411" s="1">
        <f t="shared" si="38"/>
        <v>15</v>
      </c>
      <c r="D411" s="1">
        <f t="shared" si="39"/>
        <v>486</v>
      </c>
      <c r="E411" s="1">
        <f t="shared" si="40"/>
        <v>400</v>
      </c>
      <c r="F411" s="1">
        <f t="shared" si="41"/>
        <v>0</v>
      </c>
      <c r="G411" s="1">
        <f t="shared" si="42"/>
        <v>2872</v>
      </c>
    </row>
    <row r="412" spans="1:7" x14ac:dyDescent="0.25">
      <c r="A412" s="1">
        <v>411</v>
      </c>
      <c r="B412">
        <v>0.25968175781199521</v>
      </c>
      <c r="C412" s="1">
        <f t="shared" si="38"/>
        <v>149</v>
      </c>
      <c r="D412" s="1">
        <f t="shared" si="39"/>
        <v>352</v>
      </c>
      <c r="E412" s="1">
        <f t="shared" si="40"/>
        <v>352</v>
      </c>
      <c r="F412" s="1">
        <f t="shared" si="41"/>
        <v>48</v>
      </c>
      <c r="G412" s="1">
        <f t="shared" si="42"/>
        <v>2510.08</v>
      </c>
    </row>
    <row r="413" spans="1:7" x14ac:dyDescent="0.25">
      <c r="A413" s="1">
        <v>412</v>
      </c>
      <c r="B413">
        <v>0.54464271623975502</v>
      </c>
      <c r="C413" s="1">
        <f t="shared" si="38"/>
        <v>92</v>
      </c>
      <c r="D413" s="1">
        <f t="shared" si="39"/>
        <v>409</v>
      </c>
      <c r="E413" s="1">
        <f t="shared" si="40"/>
        <v>400</v>
      </c>
      <c r="F413" s="1">
        <f t="shared" si="41"/>
        <v>0</v>
      </c>
      <c r="G413" s="1">
        <f t="shared" si="42"/>
        <v>2872</v>
      </c>
    </row>
    <row r="414" spans="1:7" x14ac:dyDescent="0.25">
      <c r="A414" s="1">
        <v>413</v>
      </c>
      <c r="B414">
        <v>0.73473630195323669</v>
      </c>
      <c r="C414" s="1">
        <f t="shared" si="38"/>
        <v>54</v>
      </c>
      <c r="D414" s="1">
        <f t="shared" si="39"/>
        <v>447</v>
      </c>
      <c r="E414" s="1">
        <f t="shared" si="40"/>
        <v>400</v>
      </c>
      <c r="F414" s="1">
        <f t="shared" si="41"/>
        <v>0</v>
      </c>
      <c r="G414" s="1">
        <f t="shared" si="42"/>
        <v>2872</v>
      </c>
    </row>
    <row r="415" spans="1:7" x14ac:dyDescent="0.25">
      <c r="A415" s="1">
        <v>414</v>
      </c>
      <c r="B415">
        <v>0.25056837987994096</v>
      </c>
      <c r="C415" s="1">
        <f t="shared" si="38"/>
        <v>151</v>
      </c>
      <c r="D415" s="1">
        <f t="shared" si="39"/>
        <v>350</v>
      </c>
      <c r="E415" s="1">
        <f t="shared" si="40"/>
        <v>350</v>
      </c>
      <c r="F415" s="1">
        <f t="shared" si="41"/>
        <v>50</v>
      </c>
      <c r="G415" s="1">
        <f t="shared" si="42"/>
        <v>2495</v>
      </c>
    </row>
    <row r="416" spans="1:7" x14ac:dyDescent="0.25">
      <c r="A416" s="1">
        <v>415</v>
      </c>
      <c r="B416">
        <v>0.13961627458499637</v>
      </c>
      <c r="C416" s="1">
        <f t="shared" si="38"/>
        <v>173</v>
      </c>
      <c r="D416" s="1">
        <f t="shared" si="39"/>
        <v>328</v>
      </c>
      <c r="E416" s="1">
        <f t="shared" si="40"/>
        <v>328</v>
      </c>
      <c r="F416" s="1">
        <f t="shared" si="41"/>
        <v>72</v>
      </c>
      <c r="G416" s="1">
        <f t="shared" si="42"/>
        <v>2329.12</v>
      </c>
    </row>
    <row r="417" spans="1:7" x14ac:dyDescent="0.25">
      <c r="A417" s="1">
        <v>416</v>
      </c>
      <c r="B417">
        <v>0.99846348084382941</v>
      </c>
      <c r="C417" s="1">
        <f t="shared" si="38"/>
        <v>1</v>
      </c>
      <c r="D417" s="1">
        <f t="shared" si="39"/>
        <v>500</v>
      </c>
      <c r="E417" s="1">
        <f t="shared" si="40"/>
        <v>400</v>
      </c>
      <c r="F417" s="1">
        <f t="shared" si="41"/>
        <v>0</v>
      </c>
      <c r="G417" s="1">
        <f t="shared" si="42"/>
        <v>2872</v>
      </c>
    </row>
    <row r="418" spans="1:7" x14ac:dyDescent="0.25">
      <c r="A418" s="1">
        <v>417</v>
      </c>
      <c r="B418">
        <v>0.3039434473091116</v>
      </c>
      <c r="C418" s="1">
        <f t="shared" si="38"/>
        <v>140</v>
      </c>
      <c r="D418" s="1">
        <f t="shared" si="39"/>
        <v>361</v>
      </c>
      <c r="E418" s="1">
        <f t="shared" si="40"/>
        <v>361</v>
      </c>
      <c r="F418" s="1">
        <f t="shared" si="41"/>
        <v>39</v>
      </c>
      <c r="G418" s="1">
        <f t="shared" si="42"/>
        <v>2577.94</v>
      </c>
    </row>
    <row r="419" spans="1:7" x14ac:dyDescent="0.25">
      <c r="A419" s="1">
        <v>418</v>
      </c>
      <c r="B419">
        <v>0.25625546395577714</v>
      </c>
      <c r="C419" s="1">
        <f t="shared" si="38"/>
        <v>150</v>
      </c>
      <c r="D419" s="1">
        <f t="shared" si="39"/>
        <v>351</v>
      </c>
      <c r="E419" s="1">
        <f t="shared" si="40"/>
        <v>351</v>
      </c>
      <c r="F419" s="1">
        <f t="shared" si="41"/>
        <v>49</v>
      </c>
      <c r="G419" s="1">
        <f t="shared" si="42"/>
        <v>2502.54</v>
      </c>
    </row>
    <row r="420" spans="1:7" x14ac:dyDescent="0.25">
      <c r="A420" s="1">
        <v>419</v>
      </c>
      <c r="B420">
        <v>0.93436852987226859</v>
      </c>
      <c r="C420" s="1">
        <f t="shared" si="38"/>
        <v>14</v>
      </c>
      <c r="D420" s="1">
        <f t="shared" si="39"/>
        <v>487</v>
      </c>
      <c r="E420" s="1">
        <f t="shared" si="40"/>
        <v>400</v>
      </c>
      <c r="F420" s="1">
        <f t="shared" si="41"/>
        <v>0</v>
      </c>
      <c r="G420" s="1">
        <f t="shared" si="42"/>
        <v>2872</v>
      </c>
    </row>
    <row r="421" spans="1:7" x14ac:dyDescent="0.25">
      <c r="A421" s="1">
        <v>420</v>
      </c>
      <c r="B421">
        <v>0.57437402726591957</v>
      </c>
      <c r="C421" s="1">
        <f t="shared" si="38"/>
        <v>86</v>
      </c>
      <c r="D421" s="1">
        <f t="shared" si="39"/>
        <v>415</v>
      </c>
      <c r="E421" s="1">
        <f t="shared" si="40"/>
        <v>400</v>
      </c>
      <c r="F421" s="1">
        <f t="shared" si="41"/>
        <v>0</v>
      </c>
      <c r="G421" s="1">
        <f t="shared" si="42"/>
        <v>2872</v>
      </c>
    </row>
    <row r="422" spans="1:7" x14ac:dyDescent="0.25">
      <c r="A422" s="1">
        <v>421</v>
      </c>
      <c r="B422">
        <v>0.66334419487178797</v>
      </c>
      <c r="C422" s="1">
        <f t="shared" si="38"/>
        <v>68</v>
      </c>
      <c r="D422" s="1">
        <f t="shared" si="39"/>
        <v>433</v>
      </c>
      <c r="E422" s="1">
        <f t="shared" si="40"/>
        <v>400</v>
      </c>
      <c r="F422" s="1">
        <f t="shared" si="41"/>
        <v>0</v>
      </c>
      <c r="G422" s="1">
        <f t="shared" si="42"/>
        <v>2872</v>
      </c>
    </row>
    <row r="423" spans="1:7" x14ac:dyDescent="0.25">
      <c r="A423" s="1">
        <v>422</v>
      </c>
      <c r="B423">
        <v>0.13168606711320308</v>
      </c>
      <c r="C423" s="1">
        <f t="shared" si="38"/>
        <v>175</v>
      </c>
      <c r="D423" s="1">
        <f t="shared" si="39"/>
        <v>326</v>
      </c>
      <c r="E423" s="1">
        <f t="shared" si="40"/>
        <v>326</v>
      </c>
      <c r="F423" s="1">
        <f t="shared" si="41"/>
        <v>74</v>
      </c>
      <c r="G423" s="1">
        <f t="shared" si="42"/>
        <v>2314.04</v>
      </c>
    </row>
    <row r="424" spans="1:7" x14ac:dyDescent="0.25">
      <c r="A424" s="1">
        <v>423</v>
      </c>
      <c r="B424">
        <v>0.40002391479737698</v>
      </c>
      <c r="C424" s="1">
        <f t="shared" si="38"/>
        <v>121</v>
      </c>
      <c r="D424" s="1">
        <f t="shared" si="39"/>
        <v>380</v>
      </c>
      <c r="E424" s="1">
        <f t="shared" si="40"/>
        <v>380</v>
      </c>
      <c r="F424" s="1">
        <f t="shared" si="41"/>
        <v>20</v>
      </c>
      <c r="G424" s="1">
        <f t="shared" si="42"/>
        <v>2721.2</v>
      </c>
    </row>
    <row r="425" spans="1:7" x14ac:dyDescent="0.25">
      <c r="A425" s="1">
        <v>424</v>
      </c>
      <c r="B425">
        <v>0.16905613295409738</v>
      </c>
      <c r="C425" s="1">
        <f t="shared" si="38"/>
        <v>168</v>
      </c>
      <c r="D425" s="1">
        <f t="shared" si="39"/>
        <v>333</v>
      </c>
      <c r="E425" s="1">
        <f t="shared" si="40"/>
        <v>333</v>
      </c>
      <c r="F425" s="1">
        <f t="shared" si="41"/>
        <v>67</v>
      </c>
      <c r="G425" s="1">
        <f t="shared" si="42"/>
        <v>2366.8200000000002</v>
      </c>
    </row>
    <row r="426" spans="1:7" x14ac:dyDescent="0.25">
      <c r="A426" s="1">
        <v>425</v>
      </c>
      <c r="B426">
        <v>0.71933404336535811</v>
      </c>
      <c r="C426" s="1">
        <f t="shared" si="38"/>
        <v>57</v>
      </c>
      <c r="D426" s="1">
        <f t="shared" si="39"/>
        <v>444</v>
      </c>
      <c r="E426" s="1">
        <f t="shared" si="40"/>
        <v>400</v>
      </c>
      <c r="F426" s="1">
        <f t="shared" si="41"/>
        <v>0</v>
      </c>
      <c r="G426" s="1">
        <f t="shared" si="42"/>
        <v>2872</v>
      </c>
    </row>
    <row r="427" spans="1:7" x14ac:dyDescent="0.25">
      <c r="A427" s="1">
        <v>426</v>
      </c>
      <c r="B427">
        <v>0.41482153577039338</v>
      </c>
      <c r="C427" s="1">
        <f t="shared" si="38"/>
        <v>118</v>
      </c>
      <c r="D427" s="1">
        <f t="shared" si="39"/>
        <v>383</v>
      </c>
      <c r="E427" s="1">
        <f t="shared" si="40"/>
        <v>383</v>
      </c>
      <c r="F427" s="1">
        <f t="shared" si="41"/>
        <v>17</v>
      </c>
      <c r="G427" s="1">
        <f t="shared" si="42"/>
        <v>2743.82</v>
      </c>
    </row>
    <row r="428" spans="1:7" x14ac:dyDescent="0.25">
      <c r="A428" s="1">
        <v>427</v>
      </c>
      <c r="B428">
        <v>0.49789408453504835</v>
      </c>
      <c r="C428" s="1">
        <f t="shared" si="38"/>
        <v>101</v>
      </c>
      <c r="D428" s="1">
        <f t="shared" si="39"/>
        <v>400</v>
      </c>
      <c r="E428" s="1">
        <f t="shared" si="40"/>
        <v>400</v>
      </c>
      <c r="F428" s="1">
        <f t="shared" si="41"/>
        <v>0</v>
      </c>
      <c r="G428" s="1">
        <f t="shared" si="42"/>
        <v>2872</v>
      </c>
    </row>
    <row r="429" spans="1:7" x14ac:dyDescent="0.25">
      <c r="A429" s="1">
        <v>428</v>
      </c>
      <c r="B429">
        <v>0.80364676753332276</v>
      </c>
      <c r="C429" s="1">
        <f t="shared" si="38"/>
        <v>40</v>
      </c>
      <c r="D429" s="1">
        <f t="shared" si="39"/>
        <v>461</v>
      </c>
      <c r="E429" s="1">
        <f t="shared" si="40"/>
        <v>400</v>
      </c>
      <c r="F429" s="1">
        <f t="shared" si="41"/>
        <v>0</v>
      </c>
      <c r="G429" s="1">
        <f t="shared" si="42"/>
        <v>2872</v>
      </c>
    </row>
    <row r="430" spans="1:7" x14ac:dyDescent="0.25">
      <c r="A430" s="1">
        <v>429</v>
      </c>
      <c r="B430">
        <v>0.14233812627963227</v>
      </c>
      <c r="C430" s="1">
        <f t="shared" si="38"/>
        <v>173</v>
      </c>
      <c r="D430" s="1">
        <f t="shared" si="39"/>
        <v>328</v>
      </c>
      <c r="E430" s="1">
        <f t="shared" si="40"/>
        <v>328</v>
      </c>
      <c r="F430" s="1">
        <f t="shared" si="41"/>
        <v>72</v>
      </c>
      <c r="G430" s="1">
        <f t="shared" si="42"/>
        <v>2329.12</v>
      </c>
    </row>
    <row r="431" spans="1:7" x14ac:dyDescent="0.25">
      <c r="A431" s="1">
        <v>430</v>
      </c>
      <c r="B431">
        <v>0.94563511272908651</v>
      </c>
      <c r="C431" s="1">
        <f t="shared" si="38"/>
        <v>11</v>
      </c>
      <c r="D431" s="1">
        <f t="shared" si="39"/>
        <v>490</v>
      </c>
      <c r="E431" s="1">
        <f t="shared" si="40"/>
        <v>400</v>
      </c>
      <c r="F431" s="1">
        <f t="shared" si="41"/>
        <v>0</v>
      </c>
      <c r="G431" s="1">
        <f t="shared" si="42"/>
        <v>2872</v>
      </c>
    </row>
    <row r="432" spans="1:7" x14ac:dyDescent="0.25">
      <c r="A432" s="1">
        <v>431</v>
      </c>
      <c r="B432">
        <v>4.5397471925273103E-2</v>
      </c>
      <c r="C432" s="1">
        <f t="shared" si="38"/>
        <v>192</v>
      </c>
      <c r="D432" s="1">
        <f t="shared" si="39"/>
        <v>309</v>
      </c>
      <c r="E432" s="1">
        <f t="shared" si="40"/>
        <v>309</v>
      </c>
      <c r="F432" s="1">
        <f t="shared" si="41"/>
        <v>91</v>
      </c>
      <c r="G432" s="1">
        <f t="shared" si="42"/>
        <v>2185.86</v>
      </c>
    </row>
    <row r="433" spans="1:7" x14ac:dyDescent="0.25">
      <c r="A433" s="1">
        <v>432</v>
      </c>
      <c r="B433">
        <v>0.97933843146034316</v>
      </c>
      <c r="C433" s="1">
        <f t="shared" si="38"/>
        <v>5</v>
      </c>
      <c r="D433" s="1">
        <f t="shared" si="39"/>
        <v>496</v>
      </c>
      <c r="E433" s="1">
        <f t="shared" si="40"/>
        <v>400</v>
      </c>
      <c r="F433" s="1">
        <f t="shared" si="41"/>
        <v>0</v>
      </c>
      <c r="G433" s="1">
        <f t="shared" si="42"/>
        <v>2872</v>
      </c>
    </row>
    <row r="434" spans="1:7" x14ac:dyDescent="0.25">
      <c r="A434" s="1">
        <v>433</v>
      </c>
      <c r="B434">
        <v>0.14901670024783142</v>
      </c>
      <c r="C434" s="1">
        <f t="shared" si="38"/>
        <v>172</v>
      </c>
      <c r="D434" s="1">
        <f t="shared" si="39"/>
        <v>329</v>
      </c>
      <c r="E434" s="1">
        <f t="shared" si="40"/>
        <v>329</v>
      </c>
      <c r="F434" s="1">
        <f t="shared" si="41"/>
        <v>71</v>
      </c>
      <c r="G434" s="1">
        <f t="shared" si="42"/>
        <v>2336.66</v>
      </c>
    </row>
    <row r="435" spans="1:7" x14ac:dyDescent="0.25">
      <c r="A435" s="1">
        <v>434</v>
      </c>
      <c r="B435">
        <v>0.9812706120651602</v>
      </c>
      <c r="C435" s="1">
        <f t="shared" si="38"/>
        <v>4</v>
      </c>
      <c r="D435" s="1">
        <f t="shared" si="39"/>
        <v>497</v>
      </c>
      <c r="E435" s="1">
        <f t="shared" si="40"/>
        <v>400</v>
      </c>
      <c r="F435" s="1">
        <f t="shared" si="41"/>
        <v>0</v>
      </c>
      <c r="G435" s="1">
        <f t="shared" si="42"/>
        <v>2872</v>
      </c>
    </row>
    <row r="436" spans="1:7" x14ac:dyDescent="0.25">
      <c r="A436" s="1">
        <v>435</v>
      </c>
      <c r="B436">
        <v>0.15186967370624604</v>
      </c>
      <c r="C436" s="1">
        <f t="shared" si="38"/>
        <v>171</v>
      </c>
      <c r="D436" s="1">
        <f t="shared" si="39"/>
        <v>330</v>
      </c>
      <c r="E436" s="1">
        <f t="shared" si="40"/>
        <v>330</v>
      </c>
      <c r="F436" s="1">
        <f t="shared" si="41"/>
        <v>70</v>
      </c>
      <c r="G436" s="1">
        <f t="shared" si="42"/>
        <v>2344.1999999999998</v>
      </c>
    </row>
    <row r="437" spans="1:7" x14ac:dyDescent="0.25">
      <c r="A437" s="1">
        <v>436</v>
      </c>
      <c r="B437">
        <v>0.94603909945493514</v>
      </c>
      <c r="C437" s="1">
        <f t="shared" si="38"/>
        <v>11</v>
      </c>
      <c r="D437" s="1">
        <f t="shared" si="39"/>
        <v>490</v>
      </c>
      <c r="E437" s="1">
        <f t="shared" si="40"/>
        <v>400</v>
      </c>
      <c r="F437" s="1">
        <f t="shared" si="41"/>
        <v>0</v>
      </c>
      <c r="G437" s="1">
        <f t="shared" si="42"/>
        <v>2872</v>
      </c>
    </row>
    <row r="438" spans="1:7" x14ac:dyDescent="0.25">
      <c r="A438" s="1">
        <v>437</v>
      </c>
      <c r="B438">
        <v>0.74542299152535485</v>
      </c>
      <c r="C438" s="1">
        <f t="shared" si="38"/>
        <v>52</v>
      </c>
      <c r="D438" s="1">
        <f t="shared" si="39"/>
        <v>449</v>
      </c>
      <c r="E438" s="1">
        <f t="shared" si="40"/>
        <v>400</v>
      </c>
      <c r="F438" s="1">
        <f t="shared" si="41"/>
        <v>0</v>
      </c>
      <c r="G438" s="1">
        <f t="shared" si="42"/>
        <v>2872</v>
      </c>
    </row>
    <row r="439" spans="1:7" x14ac:dyDescent="0.25">
      <c r="A439" s="1">
        <v>438</v>
      </c>
      <c r="B439">
        <v>0.42480536807190861</v>
      </c>
      <c r="C439" s="1">
        <f t="shared" si="38"/>
        <v>116</v>
      </c>
      <c r="D439" s="1">
        <f t="shared" si="39"/>
        <v>385</v>
      </c>
      <c r="E439" s="1">
        <f t="shared" si="40"/>
        <v>385</v>
      </c>
      <c r="F439" s="1">
        <f t="shared" si="41"/>
        <v>15</v>
      </c>
      <c r="G439" s="1">
        <f t="shared" si="42"/>
        <v>2758.9</v>
      </c>
    </row>
    <row r="440" spans="1:7" x14ac:dyDescent="0.25">
      <c r="A440" s="1">
        <v>439</v>
      </c>
      <c r="B440">
        <v>6.7065256396834361E-3</v>
      </c>
      <c r="C440" s="1">
        <f t="shared" si="38"/>
        <v>200</v>
      </c>
      <c r="D440" s="1">
        <f t="shared" si="39"/>
        <v>301</v>
      </c>
      <c r="E440" s="1">
        <f t="shared" si="40"/>
        <v>301</v>
      </c>
      <c r="F440" s="1">
        <f t="shared" si="41"/>
        <v>99</v>
      </c>
      <c r="G440" s="1">
        <f t="shared" si="42"/>
        <v>2125.54</v>
      </c>
    </row>
    <row r="441" spans="1:7" x14ac:dyDescent="0.25">
      <c r="A441" s="1">
        <v>440</v>
      </c>
      <c r="B441">
        <v>0.39385918866616432</v>
      </c>
      <c r="C441" s="1">
        <f t="shared" si="38"/>
        <v>122</v>
      </c>
      <c r="D441" s="1">
        <f t="shared" si="39"/>
        <v>379</v>
      </c>
      <c r="E441" s="1">
        <f t="shared" si="40"/>
        <v>379</v>
      </c>
      <c r="F441" s="1">
        <f t="shared" si="41"/>
        <v>21</v>
      </c>
      <c r="G441" s="1">
        <f t="shared" si="42"/>
        <v>2713.66</v>
      </c>
    </row>
    <row r="442" spans="1:7" x14ac:dyDescent="0.25">
      <c r="A442" s="1">
        <v>441</v>
      </c>
      <c r="B442">
        <v>9.1181270122909885E-2</v>
      </c>
      <c r="C442" s="1">
        <f t="shared" si="38"/>
        <v>183</v>
      </c>
      <c r="D442" s="1">
        <f t="shared" si="39"/>
        <v>318</v>
      </c>
      <c r="E442" s="1">
        <f t="shared" si="40"/>
        <v>318</v>
      </c>
      <c r="F442" s="1">
        <f t="shared" si="41"/>
        <v>82</v>
      </c>
      <c r="G442" s="1">
        <f t="shared" si="42"/>
        <v>2253.7199999999998</v>
      </c>
    </row>
    <row r="443" spans="1:7" x14ac:dyDescent="0.25">
      <c r="A443" s="1">
        <v>442</v>
      </c>
      <c r="B443">
        <v>0.39812540526885243</v>
      </c>
      <c r="C443" s="1">
        <f t="shared" si="38"/>
        <v>121</v>
      </c>
      <c r="D443" s="1">
        <f t="shared" si="39"/>
        <v>380</v>
      </c>
      <c r="E443" s="1">
        <f t="shared" si="40"/>
        <v>380</v>
      </c>
      <c r="F443" s="1">
        <f t="shared" si="41"/>
        <v>20</v>
      </c>
      <c r="G443" s="1">
        <f t="shared" si="42"/>
        <v>2721.2</v>
      </c>
    </row>
    <row r="444" spans="1:7" x14ac:dyDescent="0.25">
      <c r="A444" s="1">
        <v>443</v>
      </c>
      <c r="B444">
        <v>0.68619979265798825</v>
      </c>
      <c r="C444" s="1">
        <f t="shared" si="38"/>
        <v>64</v>
      </c>
      <c r="D444" s="1">
        <f t="shared" si="39"/>
        <v>437</v>
      </c>
      <c r="E444" s="1">
        <f t="shared" si="40"/>
        <v>400</v>
      </c>
      <c r="F444" s="1">
        <f t="shared" si="41"/>
        <v>0</v>
      </c>
      <c r="G444" s="1">
        <f t="shared" si="42"/>
        <v>2872</v>
      </c>
    </row>
    <row r="445" spans="1:7" x14ac:dyDescent="0.25">
      <c r="A445" s="1">
        <v>444</v>
      </c>
      <c r="B445">
        <v>0.69070462535545418</v>
      </c>
      <c r="C445" s="1">
        <f t="shared" si="38"/>
        <v>63</v>
      </c>
      <c r="D445" s="1">
        <f t="shared" si="39"/>
        <v>438</v>
      </c>
      <c r="E445" s="1">
        <f t="shared" si="40"/>
        <v>400</v>
      </c>
      <c r="F445" s="1">
        <f t="shared" si="41"/>
        <v>0</v>
      </c>
      <c r="G445" s="1">
        <f t="shared" si="42"/>
        <v>2872</v>
      </c>
    </row>
    <row r="446" spans="1:7" x14ac:dyDescent="0.25">
      <c r="A446" s="1">
        <v>445</v>
      </c>
      <c r="B446">
        <v>0.65544839540278887</v>
      </c>
      <c r="C446" s="1">
        <f t="shared" si="38"/>
        <v>70</v>
      </c>
      <c r="D446" s="1">
        <f t="shared" si="39"/>
        <v>431</v>
      </c>
      <c r="E446" s="1">
        <f t="shared" si="40"/>
        <v>400</v>
      </c>
      <c r="F446" s="1">
        <f t="shared" si="41"/>
        <v>0</v>
      </c>
      <c r="G446" s="1">
        <f t="shared" si="42"/>
        <v>2872</v>
      </c>
    </row>
    <row r="447" spans="1:7" x14ac:dyDescent="0.25">
      <c r="A447" s="1">
        <v>446</v>
      </c>
      <c r="B447">
        <v>0.81992355820407326</v>
      </c>
      <c r="C447" s="1">
        <f t="shared" si="38"/>
        <v>37</v>
      </c>
      <c r="D447" s="1">
        <f t="shared" si="39"/>
        <v>464</v>
      </c>
      <c r="E447" s="1">
        <f t="shared" si="40"/>
        <v>400</v>
      </c>
      <c r="F447" s="1">
        <f t="shared" si="41"/>
        <v>0</v>
      </c>
      <c r="G447" s="1">
        <f t="shared" si="42"/>
        <v>2872</v>
      </c>
    </row>
    <row r="448" spans="1:7" x14ac:dyDescent="0.25">
      <c r="A448" s="1">
        <v>447</v>
      </c>
      <c r="B448">
        <v>0.13436108473368003</v>
      </c>
      <c r="C448" s="1">
        <f t="shared" si="38"/>
        <v>174</v>
      </c>
      <c r="D448" s="1">
        <f t="shared" si="39"/>
        <v>327</v>
      </c>
      <c r="E448" s="1">
        <f t="shared" si="40"/>
        <v>327</v>
      </c>
      <c r="F448" s="1">
        <f t="shared" si="41"/>
        <v>73</v>
      </c>
      <c r="G448" s="1">
        <f t="shared" si="42"/>
        <v>2321.58</v>
      </c>
    </row>
    <row r="449" spans="1:7" x14ac:dyDescent="0.25">
      <c r="A449" s="1">
        <v>448</v>
      </c>
      <c r="B449">
        <v>0.38090270493657419</v>
      </c>
      <c r="C449" s="1">
        <f t="shared" si="38"/>
        <v>125</v>
      </c>
      <c r="D449" s="1">
        <f t="shared" si="39"/>
        <v>376</v>
      </c>
      <c r="E449" s="1">
        <f t="shared" si="40"/>
        <v>376</v>
      </c>
      <c r="F449" s="1">
        <f t="shared" si="41"/>
        <v>24</v>
      </c>
      <c r="G449" s="1">
        <f t="shared" si="42"/>
        <v>2691.04</v>
      </c>
    </row>
    <row r="450" spans="1:7" x14ac:dyDescent="0.25">
      <c r="A450" s="1">
        <v>449</v>
      </c>
      <c r="B450">
        <v>0.63996128082962911</v>
      </c>
      <c r="C450" s="1">
        <f t="shared" ref="C450:C513" si="43">MATCH(B450,$N$2:$N$202,-1)</f>
        <v>73</v>
      </c>
      <c r="D450" s="1">
        <f t="shared" ref="D450:D513" si="44">INDEX($L$2:$L$202,C450)</f>
        <v>428</v>
      </c>
      <c r="E450" s="1">
        <f t="shared" si="40"/>
        <v>400</v>
      </c>
      <c r="F450" s="1">
        <f t="shared" si="41"/>
        <v>0</v>
      </c>
      <c r="G450" s="1">
        <f t="shared" si="42"/>
        <v>2872</v>
      </c>
    </row>
    <row r="451" spans="1:7" x14ac:dyDescent="0.25">
      <c r="A451" s="1">
        <v>450</v>
      </c>
      <c r="B451">
        <v>0.70462210762760791</v>
      </c>
      <c r="C451" s="1">
        <f t="shared" si="43"/>
        <v>60</v>
      </c>
      <c r="D451" s="1">
        <f t="shared" si="44"/>
        <v>441</v>
      </c>
      <c r="E451" s="1">
        <f t="shared" ref="E451:E514" si="45">MIN(D451,$I$2)</f>
        <v>400</v>
      </c>
      <c r="F451" s="1">
        <f t="shared" ref="F451:F514" si="46">$I$2-E451</f>
        <v>0</v>
      </c>
      <c r="G451" s="1">
        <f t="shared" ref="G451:G514" si="47">7.5*E451-$I$2/25*8-F451/25*1</f>
        <v>2872</v>
      </c>
    </row>
    <row r="452" spans="1:7" x14ac:dyDescent="0.25">
      <c r="A452" s="1">
        <v>451</v>
      </c>
      <c r="B452">
        <v>0.87581619287761114</v>
      </c>
      <c r="C452" s="1">
        <f t="shared" si="43"/>
        <v>25</v>
      </c>
      <c r="D452" s="1">
        <f t="shared" si="44"/>
        <v>476</v>
      </c>
      <c r="E452" s="1">
        <f t="shared" si="45"/>
        <v>400</v>
      </c>
      <c r="F452" s="1">
        <f t="shared" si="46"/>
        <v>0</v>
      </c>
      <c r="G452" s="1">
        <f t="shared" si="47"/>
        <v>2872</v>
      </c>
    </row>
    <row r="453" spans="1:7" x14ac:dyDescent="0.25">
      <c r="A453" s="1">
        <v>452</v>
      </c>
      <c r="B453">
        <v>0.31750814326162247</v>
      </c>
      <c r="C453" s="1">
        <f t="shared" si="43"/>
        <v>138</v>
      </c>
      <c r="D453" s="1">
        <f t="shared" si="44"/>
        <v>363</v>
      </c>
      <c r="E453" s="1">
        <f t="shared" si="45"/>
        <v>363</v>
      </c>
      <c r="F453" s="1">
        <f t="shared" si="46"/>
        <v>37</v>
      </c>
      <c r="G453" s="1">
        <f t="shared" si="47"/>
        <v>2593.02</v>
      </c>
    </row>
    <row r="454" spans="1:7" x14ac:dyDescent="0.25">
      <c r="A454" s="1">
        <v>453</v>
      </c>
      <c r="B454">
        <v>0.44012006199006848</v>
      </c>
      <c r="C454" s="1">
        <f t="shared" si="43"/>
        <v>113</v>
      </c>
      <c r="D454" s="1">
        <f t="shared" si="44"/>
        <v>388</v>
      </c>
      <c r="E454" s="1">
        <f t="shared" si="45"/>
        <v>388</v>
      </c>
      <c r="F454" s="1">
        <f t="shared" si="46"/>
        <v>12</v>
      </c>
      <c r="G454" s="1">
        <f t="shared" si="47"/>
        <v>2781.52</v>
      </c>
    </row>
    <row r="455" spans="1:7" x14ac:dyDescent="0.25">
      <c r="A455" s="1">
        <v>454</v>
      </c>
      <c r="B455">
        <v>0.72900827254471534</v>
      </c>
      <c r="C455" s="1">
        <f t="shared" si="43"/>
        <v>55</v>
      </c>
      <c r="D455" s="1">
        <f t="shared" si="44"/>
        <v>446</v>
      </c>
      <c r="E455" s="1">
        <f t="shared" si="45"/>
        <v>400</v>
      </c>
      <c r="F455" s="1">
        <f t="shared" si="46"/>
        <v>0</v>
      </c>
      <c r="G455" s="1">
        <f t="shared" si="47"/>
        <v>2872</v>
      </c>
    </row>
    <row r="456" spans="1:7" x14ac:dyDescent="0.25">
      <c r="A456" s="1">
        <v>455</v>
      </c>
      <c r="B456">
        <v>0.39169134991422938</v>
      </c>
      <c r="C456" s="1">
        <f t="shared" si="43"/>
        <v>123</v>
      </c>
      <c r="D456" s="1">
        <f t="shared" si="44"/>
        <v>378</v>
      </c>
      <c r="E456" s="1">
        <f t="shared" si="45"/>
        <v>378</v>
      </c>
      <c r="F456" s="1">
        <f t="shared" si="46"/>
        <v>22</v>
      </c>
      <c r="G456" s="1">
        <f t="shared" si="47"/>
        <v>2706.12</v>
      </c>
    </row>
    <row r="457" spans="1:7" x14ac:dyDescent="0.25">
      <c r="A457" s="1">
        <v>456</v>
      </c>
      <c r="B457">
        <v>0.82141245499845261</v>
      </c>
      <c r="C457" s="1">
        <f t="shared" si="43"/>
        <v>36</v>
      </c>
      <c r="D457" s="1">
        <f t="shared" si="44"/>
        <v>465</v>
      </c>
      <c r="E457" s="1">
        <f t="shared" si="45"/>
        <v>400</v>
      </c>
      <c r="F457" s="1">
        <f t="shared" si="46"/>
        <v>0</v>
      </c>
      <c r="G457" s="1">
        <f t="shared" si="47"/>
        <v>2872</v>
      </c>
    </row>
    <row r="458" spans="1:7" x14ac:dyDescent="0.25">
      <c r="A458" s="1">
        <v>457</v>
      </c>
      <c r="B458">
        <v>0.46193238631544864</v>
      </c>
      <c r="C458" s="1">
        <f t="shared" si="43"/>
        <v>109</v>
      </c>
      <c r="D458" s="1">
        <f t="shared" si="44"/>
        <v>392</v>
      </c>
      <c r="E458" s="1">
        <f t="shared" si="45"/>
        <v>392</v>
      </c>
      <c r="F458" s="1">
        <f t="shared" si="46"/>
        <v>8</v>
      </c>
      <c r="G458" s="1">
        <f t="shared" si="47"/>
        <v>2811.68</v>
      </c>
    </row>
    <row r="459" spans="1:7" x14ac:dyDescent="0.25">
      <c r="A459" s="1">
        <v>458</v>
      </c>
      <c r="B459">
        <v>0.82852190419171823</v>
      </c>
      <c r="C459" s="1">
        <f t="shared" si="43"/>
        <v>35</v>
      </c>
      <c r="D459" s="1">
        <f t="shared" si="44"/>
        <v>466</v>
      </c>
      <c r="E459" s="1">
        <f t="shared" si="45"/>
        <v>400</v>
      </c>
      <c r="F459" s="1">
        <f t="shared" si="46"/>
        <v>0</v>
      </c>
      <c r="G459" s="1">
        <f t="shared" si="47"/>
        <v>2872</v>
      </c>
    </row>
    <row r="460" spans="1:7" x14ac:dyDescent="0.25">
      <c r="A460" s="1">
        <v>459</v>
      </c>
      <c r="B460">
        <v>0.81355659397059432</v>
      </c>
      <c r="C460" s="1">
        <f t="shared" si="43"/>
        <v>38</v>
      </c>
      <c r="D460" s="1">
        <f t="shared" si="44"/>
        <v>463</v>
      </c>
      <c r="E460" s="1">
        <f t="shared" si="45"/>
        <v>400</v>
      </c>
      <c r="F460" s="1">
        <f t="shared" si="46"/>
        <v>0</v>
      </c>
      <c r="G460" s="1">
        <f t="shared" si="47"/>
        <v>2872</v>
      </c>
    </row>
    <row r="461" spans="1:7" x14ac:dyDescent="0.25">
      <c r="A461" s="1">
        <v>460</v>
      </c>
      <c r="B461">
        <v>0.61104289048709015</v>
      </c>
      <c r="C461" s="1">
        <f t="shared" si="43"/>
        <v>79</v>
      </c>
      <c r="D461" s="1">
        <f t="shared" si="44"/>
        <v>422</v>
      </c>
      <c r="E461" s="1">
        <f t="shared" si="45"/>
        <v>400</v>
      </c>
      <c r="F461" s="1">
        <f t="shared" si="46"/>
        <v>0</v>
      </c>
      <c r="G461" s="1">
        <f t="shared" si="47"/>
        <v>2872</v>
      </c>
    </row>
    <row r="462" spans="1:7" x14ac:dyDescent="0.25">
      <c r="A462" s="1">
        <v>461</v>
      </c>
      <c r="B462">
        <v>0.90838325992122915</v>
      </c>
      <c r="C462" s="1">
        <f t="shared" si="43"/>
        <v>19</v>
      </c>
      <c r="D462" s="1">
        <f t="shared" si="44"/>
        <v>482</v>
      </c>
      <c r="E462" s="1">
        <f t="shared" si="45"/>
        <v>400</v>
      </c>
      <c r="F462" s="1">
        <f t="shared" si="46"/>
        <v>0</v>
      </c>
      <c r="G462" s="1">
        <f t="shared" si="47"/>
        <v>2872</v>
      </c>
    </row>
    <row r="463" spans="1:7" x14ac:dyDescent="0.25">
      <c r="A463" s="1">
        <v>462</v>
      </c>
      <c r="B463">
        <v>0.82356364634985335</v>
      </c>
      <c r="C463" s="1">
        <f t="shared" si="43"/>
        <v>36</v>
      </c>
      <c r="D463" s="1">
        <f t="shared" si="44"/>
        <v>465</v>
      </c>
      <c r="E463" s="1">
        <f t="shared" si="45"/>
        <v>400</v>
      </c>
      <c r="F463" s="1">
        <f t="shared" si="46"/>
        <v>0</v>
      </c>
      <c r="G463" s="1">
        <f t="shared" si="47"/>
        <v>2872</v>
      </c>
    </row>
    <row r="464" spans="1:7" x14ac:dyDescent="0.25">
      <c r="A464" s="1">
        <v>463</v>
      </c>
      <c r="B464">
        <v>0.17936630374211471</v>
      </c>
      <c r="C464" s="1">
        <f t="shared" si="43"/>
        <v>165</v>
      </c>
      <c r="D464" s="1">
        <f t="shared" si="44"/>
        <v>336</v>
      </c>
      <c r="E464" s="1">
        <f t="shared" si="45"/>
        <v>336</v>
      </c>
      <c r="F464" s="1">
        <f t="shared" si="46"/>
        <v>64</v>
      </c>
      <c r="G464" s="1">
        <f t="shared" si="47"/>
        <v>2389.44</v>
      </c>
    </row>
    <row r="465" spans="1:7" x14ac:dyDescent="0.25">
      <c r="A465" s="1">
        <v>464</v>
      </c>
      <c r="B465">
        <v>0.25145389771592319</v>
      </c>
      <c r="C465" s="1">
        <f t="shared" si="43"/>
        <v>151</v>
      </c>
      <c r="D465" s="1">
        <f t="shared" si="44"/>
        <v>350</v>
      </c>
      <c r="E465" s="1">
        <f t="shared" si="45"/>
        <v>350</v>
      </c>
      <c r="F465" s="1">
        <f t="shared" si="46"/>
        <v>50</v>
      </c>
      <c r="G465" s="1">
        <f t="shared" si="47"/>
        <v>2495</v>
      </c>
    </row>
    <row r="466" spans="1:7" x14ac:dyDescent="0.25">
      <c r="A466" s="1">
        <v>465</v>
      </c>
      <c r="B466">
        <v>0.40354893204580566</v>
      </c>
      <c r="C466" s="1">
        <f t="shared" si="43"/>
        <v>120</v>
      </c>
      <c r="D466" s="1">
        <f t="shared" si="44"/>
        <v>381</v>
      </c>
      <c r="E466" s="1">
        <f t="shared" si="45"/>
        <v>381</v>
      </c>
      <c r="F466" s="1">
        <f t="shared" si="46"/>
        <v>19</v>
      </c>
      <c r="G466" s="1">
        <f t="shared" si="47"/>
        <v>2728.74</v>
      </c>
    </row>
    <row r="467" spans="1:7" x14ac:dyDescent="0.25">
      <c r="A467" s="1">
        <v>466</v>
      </c>
      <c r="B467">
        <v>0.89357481801202254</v>
      </c>
      <c r="C467" s="1">
        <f t="shared" si="43"/>
        <v>22</v>
      </c>
      <c r="D467" s="1">
        <f t="shared" si="44"/>
        <v>479</v>
      </c>
      <c r="E467" s="1">
        <f t="shared" si="45"/>
        <v>400</v>
      </c>
      <c r="F467" s="1">
        <f t="shared" si="46"/>
        <v>0</v>
      </c>
      <c r="G467" s="1">
        <f t="shared" si="47"/>
        <v>2872</v>
      </c>
    </row>
    <row r="468" spans="1:7" x14ac:dyDescent="0.25">
      <c r="A468" s="1">
        <v>467</v>
      </c>
      <c r="B468">
        <v>0.16901718112248409</v>
      </c>
      <c r="C468" s="1">
        <f t="shared" si="43"/>
        <v>168</v>
      </c>
      <c r="D468" s="1">
        <f t="shared" si="44"/>
        <v>333</v>
      </c>
      <c r="E468" s="1">
        <f t="shared" si="45"/>
        <v>333</v>
      </c>
      <c r="F468" s="1">
        <f t="shared" si="46"/>
        <v>67</v>
      </c>
      <c r="G468" s="1">
        <f t="shared" si="47"/>
        <v>2366.8200000000002</v>
      </c>
    </row>
    <row r="469" spans="1:7" x14ac:dyDescent="0.25">
      <c r="A469" s="1">
        <v>468</v>
      </c>
      <c r="B469">
        <v>0.71733549457931434</v>
      </c>
      <c r="C469" s="1">
        <f t="shared" si="43"/>
        <v>57</v>
      </c>
      <c r="D469" s="1">
        <f t="shared" si="44"/>
        <v>444</v>
      </c>
      <c r="E469" s="1">
        <f t="shared" si="45"/>
        <v>400</v>
      </c>
      <c r="F469" s="1">
        <f t="shared" si="46"/>
        <v>0</v>
      </c>
      <c r="G469" s="1">
        <f t="shared" si="47"/>
        <v>2872</v>
      </c>
    </row>
    <row r="470" spans="1:7" x14ac:dyDescent="0.25">
      <c r="A470" s="1">
        <v>469</v>
      </c>
      <c r="B470">
        <v>0.78987678087885116</v>
      </c>
      <c r="C470" s="1">
        <f t="shared" si="43"/>
        <v>43</v>
      </c>
      <c r="D470" s="1">
        <f t="shared" si="44"/>
        <v>458</v>
      </c>
      <c r="E470" s="1">
        <f t="shared" si="45"/>
        <v>400</v>
      </c>
      <c r="F470" s="1">
        <f t="shared" si="46"/>
        <v>0</v>
      </c>
      <c r="G470" s="1">
        <f t="shared" si="47"/>
        <v>2872</v>
      </c>
    </row>
    <row r="471" spans="1:7" x14ac:dyDescent="0.25">
      <c r="A471" s="1">
        <v>470</v>
      </c>
      <c r="B471">
        <v>0.10060023541411978</v>
      </c>
      <c r="C471" s="1">
        <f t="shared" si="43"/>
        <v>181</v>
      </c>
      <c r="D471" s="1">
        <f t="shared" si="44"/>
        <v>320</v>
      </c>
      <c r="E471" s="1">
        <f t="shared" si="45"/>
        <v>320</v>
      </c>
      <c r="F471" s="1">
        <f t="shared" si="46"/>
        <v>80</v>
      </c>
      <c r="G471" s="1">
        <f t="shared" si="47"/>
        <v>2268.8000000000002</v>
      </c>
    </row>
    <row r="472" spans="1:7" x14ac:dyDescent="0.25">
      <c r="A472" s="1">
        <v>471</v>
      </c>
      <c r="B472">
        <v>0.51139454042307309</v>
      </c>
      <c r="C472" s="1">
        <f t="shared" si="43"/>
        <v>99</v>
      </c>
      <c r="D472" s="1">
        <f t="shared" si="44"/>
        <v>402</v>
      </c>
      <c r="E472" s="1">
        <f t="shared" si="45"/>
        <v>400</v>
      </c>
      <c r="F472" s="1">
        <f t="shared" si="46"/>
        <v>0</v>
      </c>
      <c r="G472" s="1">
        <f t="shared" si="47"/>
        <v>2872</v>
      </c>
    </row>
    <row r="473" spans="1:7" x14ac:dyDescent="0.25">
      <c r="A473" s="1">
        <v>472</v>
      </c>
      <c r="B473">
        <v>0.13667706212497521</v>
      </c>
      <c r="C473" s="1">
        <f t="shared" si="43"/>
        <v>174</v>
      </c>
      <c r="D473" s="1">
        <f t="shared" si="44"/>
        <v>327</v>
      </c>
      <c r="E473" s="1">
        <f t="shared" si="45"/>
        <v>327</v>
      </c>
      <c r="F473" s="1">
        <f t="shared" si="46"/>
        <v>73</v>
      </c>
      <c r="G473" s="1">
        <f t="shared" si="47"/>
        <v>2321.58</v>
      </c>
    </row>
    <row r="474" spans="1:7" x14ac:dyDescent="0.25">
      <c r="A474" s="1">
        <v>473</v>
      </c>
      <c r="B474">
        <v>0.57973717918598699</v>
      </c>
      <c r="C474" s="1">
        <f t="shared" si="43"/>
        <v>85</v>
      </c>
      <c r="D474" s="1">
        <f t="shared" si="44"/>
        <v>416</v>
      </c>
      <c r="E474" s="1">
        <f t="shared" si="45"/>
        <v>400</v>
      </c>
      <c r="F474" s="1">
        <f t="shared" si="46"/>
        <v>0</v>
      </c>
      <c r="G474" s="1">
        <f t="shared" si="47"/>
        <v>2872</v>
      </c>
    </row>
    <row r="475" spans="1:7" x14ac:dyDescent="0.25">
      <c r="A475" s="1">
        <v>474</v>
      </c>
      <c r="B475">
        <v>0.96586433989931086</v>
      </c>
      <c r="C475" s="1">
        <f t="shared" si="43"/>
        <v>7</v>
      </c>
      <c r="D475" s="1">
        <f t="shared" si="44"/>
        <v>494</v>
      </c>
      <c r="E475" s="1">
        <f t="shared" si="45"/>
        <v>400</v>
      </c>
      <c r="F475" s="1">
        <f t="shared" si="46"/>
        <v>0</v>
      </c>
      <c r="G475" s="1">
        <f t="shared" si="47"/>
        <v>2872</v>
      </c>
    </row>
    <row r="476" spans="1:7" x14ac:dyDescent="0.25">
      <c r="A476" s="1">
        <v>475</v>
      </c>
      <c r="B476">
        <v>0.96085913232290376</v>
      </c>
      <c r="C476" s="1">
        <f t="shared" si="43"/>
        <v>8</v>
      </c>
      <c r="D476" s="1">
        <f t="shared" si="44"/>
        <v>493</v>
      </c>
      <c r="E476" s="1">
        <f t="shared" si="45"/>
        <v>400</v>
      </c>
      <c r="F476" s="1">
        <f t="shared" si="46"/>
        <v>0</v>
      </c>
      <c r="G476" s="1">
        <f t="shared" si="47"/>
        <v>2872</v>
      </c>
    </row>
    <row r="477" spans="1:7" x14ac:dyDescent="0.25">
      <c r="A477" s="1">
        <v>476</v>
      </c>
      <c r="B477">
        <v>0.86091002885678891</v>
      </c>
      <c r="C477" s="1">
        <f t="shared" si="43"/>
        <v>28</v>
      </c>
      <c r="D477" s="1">
        <f t="shared" si="44"/>
        <v>473</v>
      </c>
      <c r="E477" s="1">
        <f t="shared" si="45"/>
        <v>400</v>
      </c>
      <c r="F477" s="1">
        <f t="shared" si="46"/>
        <v>0</v>
      </c>
      <c r="G477" s="1">
        <f t="shared" si="47"/>
        <v>2872</v>
      </c>
    </row>
    <row r="478" spans="1:7" x14ac:dyDescent="0.25">
      <c r="A478" s="1">
        <v>477</v>
      </c>
      <c r="B478">
        <v>0.19366779259926092</v>
      </c>
      <c r="C478" s="1">
        <f t="shared" si="43"/>
        <v>163</v>
      </c>
      <c r="D478" s="1">
        <f t="shared" si="44"/>
        <v>338</v>
      </c>
      <c r="E478" s="1">
        <f t="shared" si="45"/>
        <v>338</v>
      </c>
      <c r="F478" s="1">
        <f t="shared" si="46"/>
        <v>62</v>
      </c>
      <c r="G478" s="1">
        <f t="shared" si="47"/>
        <v>2404.52</v>
      </c>
    </row>
    <row r="479" spans="1:7" x14ac:dyDescent="0.25">
      <c r="A479" s="1">
        <v>478</v>
      </c>
      <c r="B479">
        <v>0.97802362904963058</v>
      </c>
      <c r="C479" s="1">
        <f t="shared" si="43"/>
        <v>5</v>
      </c>
      <c r="D479" s="1">
        <f t="shared" si="44"/>
        <v>496</v>
      </c>
      <c r="E479" s="1">
        <f t="shared" si="45"/>
        <v>400</v>
      </c>
      <c r="F479" s="1">
        <f t="shared" si="46"/>
        <v>0</v>
      </c>
      <c r="G479" s="1">
        <f t="shared" si="47"/>
        <v>2872</v>
      </c>
    </row>
    <row r="480" spans="1:7" x14ac:dyDescent="0.25">
      <c r="A480" s="1">
        <v>479</v>
      </c>
      <c r="B480">
        <v>0.24637115549054101</v>
      </c>
      <c r="C480" s="1">
        <f t="shared" si="43"/>
        <v>152</v>
      </c>
      <c r="D480" s="1">
        <f t="shared" si="44"/>
        <v>349</v>
      </c>
      <c r="E480" s="1">
        <f t="shared" si="45"/>
        <v>349</v>
      </c>
      <c r="F480" s="1">
        <f t="shared" si="46"/>
        <v>51</v>
      </c>
      <c r="G480" s="1">
        <f t="shared" si="47"/>
        <v>2487.46</v>
      </c>
    </row>
    <row r="481" spans="1:7" x14ac:dyDescent="0.25">
      <c r="A481" s="1">
        <v>480</v>
      </c>
      <c r="B481">
        <v>0.81003007862161913</v>
      </c>
      <c r="C481" s="1">
        <f t="shared" si="43"/>
        <v>39</v>
      </c>
      <c r="D481" s="1">
        <f t="shared" si="44"/>
        <v>462</v>
      </c>
      <c r="E481" s="1">
        <f t="shared" si="45"/>
        <v>400</v>
      </c>
      <c r="F481" s="1">
        <f t="shared" si="46"/>
        <v>0</v>
      </c>
      <c r="G481" s="1">
        <f t="shared" si="47"/>
        <v>2872</v>
      </c>
    </row>
    <row r="482" spans="1:7" x14ac:dyDescent="0.25">
      <c r="A482" s="1">
        <v>481</v>
      </c>
      <c r="B482">
        <v>0.7544917189847874</v>
      </c>
      <c r="C482" s="1">
        <f t="shared" si="43"/>
        <v>50</v>
      </c>
      <c r="D482" s="1">
        <f t="shared" si="44"/>
        <v>451</v>
      </c>
      <c r="E482" s="1">
        <f t="shared" si="45"/>
        <v>400</v>
      </c>
      <c r="F482" s="1">
        <f t="shared" si="46"/>
        <v>0</v>
      </c>
      <c r="G482" s="1">
        <f t="shared" si="47"/>
        <v>2872</v>
      </c>
    </row>
    <row r="483" spans="1:7" x14ac:dyDescent="0.25">
      <c r="A483" s="1">
        <v>482</v>
      </c>
      <c r="B483">
        <v>0.80726328252738566</v>
      </c>
      <c r="C483" s="1">
        <f t="shared" si="43"/>
        <v>39</v>
      </c>
      <c r="D483" s="1">
        <f t="shared" si="44"/>
        <v>462</v>
      </c>
      <c r="E483" s="1">
        <f t="shared" si="45"/>
        <v>400</v>
      </c>
      <c r="F483" s="1">
        <f t="shared" si="46"/>
        <v>0</v>
      </c>
      <c r="G483" s="1">
        <f t="shared" si="47"/>
        <v>2872</v>
      </c>
    </row>
    <row r="484" spans="1:7" x14ac:dyDescent="0.25">
      <c r="A484" s="1">
        <v>483</v>
      </c>
      <c r="B484">
        <v>0.76630310894968134</v>
      </c>
      <c r="C484" s="1">
        <f t="shared" si="43"/>
        <v>47</v>
      </c>
      <c r="D484" s="1">
        <f t="shared" si="44"/>
        <v>454</v>
      </c>
      <c r="E484" s="1">
        <f t="shared" si="45"/>
        <v>400</v>
      </c>
      <c r="F484" s="1">
        <f t="shared" si="46"/>
        <v>0</v>
      </c>
      <c r="G484" s="1">
        <f t="shared" si="47"/>
        <v>2872</v>
      </c>
    </row>
    <row r="485" spans="1:7" x14ac:dyDescent="0.25">
      <c r="A485" s="1">
        <v>484</v>
      </c>
      <c r="B485">
        <v>0.43581745084325318</v>
      </c>
      <c r="C485" s="1">
        <f t="shared" si="43"/>
        <v>114</v>
      </c>
      <c r="D485" s="1">
        <f t="shared" si="44"/>
        <v>387</v>
      </c>
      <c r="E485" s="1">
        <f t="shared" si="45"/>
        <v>387</v>
      </c>
      <c r="F485" s="1">
        <f t="shared" si="46"/>
        <v>13</v>
      </c>
      <c r="G485" s="1">
        <f t="shared" si="47"/>
        <v>2773.98</v>
      </c>
    </row>
    <row r="486" spans="1:7" x14ac:dyDescent="0.25">
      <c r="A486" s="1">
        <v>485</v>
      </c>
      <c r="B486">
        <v>0.57528515692072302</v>
      </c>
      <c r="C486" s="1">
        <f t="shared" si="43"/>
        <v>86</v>
      </c>
      <c r="D486" s="1">
        <f t="shared" si="44"/>
        <v>415</v>
      </c>
      <c r="E486" s="1">
        <f t="shared" si="45"/>
        <v>400</v>
      </c>
      <c r="F486" s="1">
        <f t="shared" si="46"/>
        <v>0</v>
      </c>
      <c r="G486" s="1">
        <f t="shared" si="47"/>
        <v>2872</v>
      </c>
    </row>
    <row r="487" spans="1:7" x14ac:dyDescent="0.25">
      <c r="A487" s="1">
        <v>486</v>
      </c>
      <c r="B487">
        <v>0.6245130311561875</v>
      </c>
      <c r="C487" s="1">
        <f t="shared" si="43"/>
        <v>76</v>
      </c>
      <c r="D487" s="1">
        <f t="shared" si="44"/>
        <v>425</v>
      </c>
      <c r="E487" s="1">
        <f t="shared" si="45"/>
        <v>400</v>
      </c>
      <c r="F487" s="1">
        <f t="shared" si="46"/>
        <v>0</v>
      </c>
      <c r="G487" s="1">
        <f t="shared" si="47"/>
        <v>2872</v>
      </c>
    </row>
    <row r="488" spans="1:7" x14ac:dyDescent="0.25">
      <c r="A488" s="1">
        <v>487</v>
      </c>
      <c r="B488">
        <v>0.65126791169512865</v>
      </c>
      <c r="C488" s="1">
        <f t="shared" si="43"/>
        <v>71</v>
      </c>
      <c r="D488" s="1">
        <f t="shared" si="44"/>
        <v>430</v>
      </c>
      <c r="E488" s="1">
        <f t="shared" si="45"/>
        <v>400</v>
      </c>
      <c r="F488" s="1">
        <f t="shared" si="46"/>
        <v>0</v>
      </c>
      <c r="G488" s="1">
        <f t="shared" si="47"/>
        <v>2872</v>
      </c>
    </row>
    <row r="489" spans="1:7" x14ac:dyDescent="0.25">
      <c r="A489" s="1">
        <v>488</v>
      </c>
      <c r="B489">
        <v>0.68677035092863559</v>
      </c>
      <c r="C489" s="1">
        <f t="shared" si="43"/>
        <v>63</v>
      </c>
      <c r="D489" s="1">
        <f t="shared" si="44"/>
        <v>438</v>
      </c>
      <c r="E489" s="1">
        <f t="shared" si="45"/>
        <v>400</v>
      </c>
      <c r="F489" s="1">
        <f t="shared" si="46"/>
        <v>0</v>
      </c>
      <c r="G489" s="1">
        <f t="shared" si="47"/>
        <v>2872</v>
      </c>
    </row>
    <row r="490" spans="1:7" x14ac:dyDescent="0.25">
      <c r="A490" s="1">
        <v>489</v>
      </c>
      <c r="B490">
        <v>0.73646732536292336</v>
      </c>
      <c r="C490" s="1">
        <f t="shared" si="43"/>
        <v>53</v>
      </c>
      <c r="D490" s="1">
        <f t="shared" si="44"/>
        <v>448</v>
      </c>
      <c r="E490" s="1">
        <f t="shared" si="45"/>
        <v>400</v>
      </c>
      <c r="F490" s="1">
        <f t="shared" si="46"/>
        <v>0</v>
      </c>
      <c r="G490" s="1">
        <f t="shared" si="47"/>
        <v>2872</v>
      </c>
    </row>
    <row r="491" spans="1:7" x14ac:dyDescent="0.25">
      <c r="A491" s="1">
        <v>490</v>
      </c>
      <c r="B491">
        <v>4.7217833674332632E-2</v>
      </c>
      <c r="C491" s="1">
        <f t="shared" si="43"/>
        <v>192</v>
      </c>
      <c r="D491" s="1">
        <f t="shared" si="44"/>
        <v>309</v>
      </c>
      <c r="E491" s="1">
        <f t="shared" si="45"/>
        <v>309</v>
      </c>
      <c r="F491" s="1">
        <f t="shared" si="46"/>
        <v>91</v>
      </c>
      <c r="G491" s="1">
        <f t="shared" si="47"/>
        <v>2185.86</v>
      </c>
    </row>
    <row r="492" spans="1:7" x14ac:dyDescent="0.25">
      <c r="A492" s="1">
        <v>491</v>
      </c>
      <c r="B492">
        <v>0.69653263471884741</v>
      </c>
      <c r="C492" s="1">
        <f t="shared" si="43"/>
        <v>61</v>
      </c>
      <c r="D492" s="1">
        <f t="shared" si="44"/>
        <v>440</v>
      </c>
      <c r="E492" s="1">
        <f t="shared" si="45"/>
        <v>400</v>
      </c>
      <c r="F492" s="1">
        <f t="shared" si="46"/>
        <v>0</v>
      </c>
      <c r="G492" s="1">
        <f t="shared" si="47"/>
        <v>2872</v>
      </c>
    </row>
    <row r="493" spans="1:7" x14ac:dyDescent="0.25">
      <c r="A493" s="1">
        <v>492</v>
      </c>
      <c r="B493">
        <v>0.64199092150579451</v>
      </c>
      <c r="C493" s="1">
        <f t="shared" si="43"/>
        <v>72</v>
      </c>
      <c r="D493" s="1">
        <f t="shared" si="44"/>
        <v>429</v>
      </c>
      <c r="E493" s="1">
        <f t="shared" si="45"/>
        <v>400</v>
      </c>
      <c r="F493" s="1">
        <f t="shared" si="46"/>
        <v>0</v>
      </c>
      <c r="G493" s="1">
        <f t="shared" si="47"/>
        <v>2872</v>
      </c>
    </row>
    <row r="494" spans="1:7" x14ac:dyDescent="0.25">
      <c r="A494" s="1">
        <v>493</v>
      </c>
      <c r="B494">
        <v>0.36188225702771248</v>
      </c>
      <c r="C494" s="1">
        <f t="shared" si="43"/>
        <v>129</v>
      </c>
      <c r="D494" s="1">
        <f t="shared" si="44"/>
        <v>372</v>
      </c>
      <c r="E494" s="1">
        <f t="shared" si="45"/>
        <v>372</v>
      </c>
      <c r="F494" s="1">
        <f t="shared" si="46"/>
        <v>28</v>
      </c>
      <c r="G494" s="1">
        <f t="shared" si="47"/>
        <v>2660.88</v>
      </c>
    </row>
    <row r="495" spans="1:7" x14ac:dyDescent="0.25">
      <c r="A495" s="1">
        <v>494</v>
      </c>
      <c r="B495">
        <v>6.7599868163030763E-3</v>
      </c>
      <c r="C495" s="1">
        <f t="shared" si="43"/>
        <v>200</v>
      </c>
      <c r="D495" s="1">
        <f t="shared" si="44"/>
        <v>301</v>
      </c>
      <c r="E495" s="1">
        <f t="shared" si="45"/>
        <v>301</v>
      </c>
      <c r="F495" s="1">
        <f t="shared" si="46"/>
        <v>99</v>
      </c>
      <c r="G495" s="1">
        <f t="shared" si="47"/>
        <v>2125.54</v>
      </c>
    </row>
    <row r="496" spans="1:7" x14ac:dyDescent="0.25">
      <c r="A496" s="1">
        <v>495</v>
      </c>
      <c r="B496">
        <v>0.96901072027335533</v>
      </c>
      <c r="C496" s="1">
        <f t="shared" si="43"/>
        <v>7</v>
      </c>
      <c r="D496" s="1">
        <f t="shared" si="44"/>
        <v>494</v>
      </c>
      <c r="E496" s="1">
        <f t="shared" si="45"/>
        <v>400</v>
      </c>
      <c r="F496" s="1">
        <f t="shared" si="46"/>
        <v>0</v>
      </c>
      <c r="G496" s="1">
        <f t="shared" si="47"/>
        <v>2872</v>
      </c>
    </row>
    <row r="497" spans="1:7" x14ac:dyDescent="0.25">
      <c r="A497" s="1">
        <v>496</v>
      </c>
      <c r="B497">
        <v>0.9928619021490479</v>
      </c>
      <c r="C497" s="1">
        <f t="shared" si="43"/>
        <v>2</v>
      </c>
      <c r="D497" s="1">
        <f t="shared" si="44"/>
        <v>499</v>
      </c>
      <c r="E497" s="1">
        <f t="shared" si="45"/>
        <v>400</v>
      </c>
      <c r="F497" s="1">
        <f t="shared" si="46"/>
        <v>0</v>
      </c>
      <c r="G497" s="1">
        <f t="shared" si="47"/>
        <v>2872</v>
      </c>
    </row>
    <row r="498" spans="1:7" x14ac:dyDescent="0.25">
      <c r="A498" s="1">
        <v>497</v>
      </c>
      <c r="B498">
        <v>0.50967669377866065</v>
      </c>
      <c r="C498" s="1">
        <f t="shared" si="43"/>
        <v>99</v>
      </c>
      <c r="D498" s="1">
        <f t="shared" si="44"/>
        <v>402</v>
      </c>
      <c r="E498" s="1">
        <f t="shared" si="45"/>
        <v>400</v>
      </c>
      <c r="F498" s="1">
        <f t="shared" si="46"/>
        <v>0</v>
      </c>
      <c r="G498" s="1">
        <f t="shared" si="47"/>
        <v>2872</v>
      </c>
    </row>
    <row r="499" spans="1:7" x14ac:dyDescent="0.25">
      <c r="A499" s="1">
        <v>498</v>
      </c>
      <c r="B499">
        <v>0.74277396148008723</v>
      </c>
      <c r="C499" s="1">
        <f t="shared" si="43"/>
        <v>52</v>
      </c>
      <c r="D499" s="1">
        <f t="shared" si="44"/>
        <v>449</v>
      </c>
      <c r="E499" s="1">
        <f t="shared" si="45"/>
        <v>400</v>
      </c>
      <c r="F499" s="1">
        <f t="shared" si="46"/>
        <v>0</v>
      </c>
      <c r="G499" s="1">
        <f t="shared" si="47"/>
        <v>2872</v>
      </c>
    </row>
    <row r="500" spans="1:7" x14ac:dyDescent="0.25">
      <c r="A500" s="1">
        <v>499</v>
      </c>
      <c r="B500">
        <v>0.26552284129315284</v>
      </c>
      <c r="C500" s="1">
        <f t="shared" si="43"/>
        <v>148</v>
      </c>
      <c r="D500" s="1">
        <f t="shared" si="44"/>
        <v>353</v>
      </c>
      <c r="E500" s="1">
        <f t="shared" si="45"/>
        <v>353</v>
      </c>
      <c r="F500" s="1">
        <f t="shared" si="46"/>
        <v>47</v>
      </c>
      <c r="G500" s="1">
        <f t="shared" si="47"/>
        <v>2517.62</v>
      </c>
    </row>
    <row r="501" spans="1:7" x14ac:dyDescent="0.25">
      <c r="A501" s="1">
        <v>500</v>
      </c>
      <c r="B501">
        <v>0.42835327553470748</v>
      </c>
      <c r="C501" s="1">
        <f t="shared" si="43"/>
        <v>115</v>
      </c>
      <c r="D501" s="1">
        <f t="shared" si="44"/>
        <v>386</v>
      </c>
      <c r="E501" s="1">
        <f t="shared" si="45"/>
        <v>386</v>
      </c>
      <c r="F501" s="1">
        <f t="shared" si="46"/>
        <v>14</v>
      </c>
      <c r="G501" s="1">
        <f t="shared" si="47"/>
        <v>2766.44</v>
      </c>
    </row>
    <row r="502" spans="1:7" x14ac:dyDescent="0.25">
      <c r="A502" s="1">
        <v>501</v>
      </c>
      <c r="B502">
        <v>0.53660672744888971</v>
      </c>
      <c r="C502" s="1">
        <f t="shared" si="43"/>
        <v>94</v>
      </c>
      <c r="D502" s="1">
        <f t="shared" si="44"/>
        <v>407</v>
      </c>
      <c r="E502" s="1">
        <f t="shared" si="45"/>
        <v>400</v>
      </c>
      <c r="F502" s="1">
        <f t="shared" si="46"/>
        <v>0</v>
      </c>
      <c r="G502" s="1">
        <f t="shared" si="47"/>
        <v>2872</v>
      </c>
    </row>
    <row r="503" spans="1:7" x14ac:dyDescent="0.25">
      <c r="A503" s="1">
        <v>502</v>
      </c>
      <c r="B503">
        <v>9.668608698228387E-2</v>
      </c>
      <c r="C503" s="1">
        <f t="shared" si="43"/>
        <v>182</v>
      </c>
      <c r="D503" s="1">
        <f t="shared" si="44"/>
        <v>319</v>
      </c>
      <c r="E503" s="1">
        <f t="shared" si="45"/>
        <v>319</v>
      </c>
      <c r="F503" s="1">
        <f t="shared" si="46"/>
        <v>81</v>
      </c>
      <c r="G503" s="1">
        <f t="shared" si="47"/>
        <v>2261.2600000000002</v>
      </c>
    </row>
    <row r="504" spans="1:7" x14ac:dyDescent="0.25">
      <c r="A504" s="1">
        <v>503</v>
      </c>
      <c r="B504">
        <v>0.3041258063337684</v>
      </c>
      <c r="C504" s="1">
        <f t="shared" si="43"/>
        <v>140</v>
      </c>
      <c r="D504" s="1">
        <f t="shared" si="44"/>
        <v>361</v>
      </c>
      <c r="E504" s="1">
        <f t="shared" si="45"/>
        <v>361</v>
      </c>
      <c r="F504" s="1">
        <f t="shared" si="46"/>
        <v>39</v>
      </c>
      <c r="G504" s="1">
        <f t="shared" si="47"/>
        <v>2577.94</v>
      </c>
    </row>
    <row r="505" spans="1:7" x14ac:dyDescent="0.25">
      <c r="A505" s="1">
        <v>504</v>
      </c>
      <c r="B505">
        <v>0.68815909881598891</v>
      </c>
      <c r="C505" s="1">
        <f t="shared" si="43"/>
        <v>63</v>
      </c>
      <c r="D505" s="1">
        <f t="shared" si="44"/>
        <v>438</v>
      </c>
      <c r="E505" s="1">
        <f t="shared" si="45"/>
        <v>400</v>
      </c>
      <c r="F505" s="1">
        <f t="shared" si="46"/>
        <v>0</v>
      </c>
      <c r="G505" s="1">
        <f t="shared" si="47"/>
        <v>2872</v>
      </c>
    </row>
    <row r="506" spans="1:7" x14ac:dyDescent="0.25">
      <c r="A506" s="1">
        <v>505</v>
      </c>
      <c r="B506">
        <v>0.84157200529522791</v>
      </c>
      <c r="C506" s="1">
        <f t="shared" si="43"/>
        <v>32</v>
      </c>
      <c r="D506" s="1">
        <f t="shared" si="44"/>
        <v>469</v>
      </c>
      <c r="E506" s="1">
        <f t="shared" si="45"/>
        <v>400</v>
      </c>
      <c r="F506" s="1">
        <f t="shared" si="46"/>
        <v>0</v>
      </c>
      <c r="G506" s="1">
        <f t="shared" si="47"/>
        <v>2872</v>
      </c>
    </row>
    <row r="507" spans="1:7" x14ac:dyDescent="0.25">
      <c r="A507" s="1">
        <v>506</v>
      </c>
      <c r="B507">
        <v>2.7424912358959164E-2</v>
      </c>
      <c r="C507" s="1">
        <f t="shared" si="43"/>
        <v>196</v>
      </c>
      <c r="D507" s="1">
        <f t="shared" si="44"/>
        <v>305</v>
      </c>
      <c r="E507" s="1">
        <f t="shared" si="45"/>
        <v>305</v>
      </c>
      <c r="F507" s="1">
        <f t="shared" si="46"/>
        <v>95</v>
      </c>
      <c r="G507" s="1">
        <f t="shared" si="47"/>
        <v>2155.6999999999998</v>
      </c>
    </row>
    <row r="508" spans="1:7" x14ac:dyDescent="0.25">
      <c r="A508" s="1">
        <v>507</v>
      </c>
      <c r="B508">
        <v>0.99571722797520845</v>
      </c>
      <c r="C508" s="1">
        <f t="shared" si="43"/>
        <v>1</v>
      </c>
      <c r="D508" s="1">
        <f t="shared" si="44"/>
        <v>500</v>
      </c>
      <c r="E508" s="1">
        <f t="shared" si="45"/>
        <v>400</v>
      </c>
      <c r="F508" s="1">
        <f t="shared" si="46"/>
        <v>0</v>
      </c>
      <c r="G508" s="1">
        <f t="shared" si="47"/>
        <v>2872</v>
      </c>
    </row>
    <row r="509" spans="1:7" x14ac:dyDescent="0.25">
      <c r="A509" s="1">
        <v>508</v>
      </c>
      <c r="B509">
        <v>0.59228501138830236</v>
      </c>
      <c r="C509" s="1">
        <f t="shared" si="43"/>
        <v>82</v>
      </c>
      <c r="D509" s="1">
        <f t="shared" si="44"/>
        <v>419</v>
      </c>
      <c r="E509" s="1">
        <f t="shared" si="45"/>
        <v>400</v>
      </c>
      <c r="F509" s="1">
        <f t="shared" si="46"/>
        <v>0</v>
      </c>
      <c r="G509" s="1">
        <f t="shared" si="47"/>
        <v>2872</v>
      </c>
    </row>
    <row r="510" spans="1:7" x14ac:dyDescent="0.25">
      <c r="A510" s="1">
        <v>509</v>
      </c>
      <c r="B510">
        <v>0.65221958327663665</v>
      </c>
      <c r="C510" s="1">
        <f t="shared" si="43"/>
        <v>70</v>
      </c>
      <c r="D510" s="1">
        <f t="shared" si="44"/>
        <v>431</v>
      </c>
      <c r="E510" s="1">
        <f t="shared" si="45"/>
        <v>400</v>
      </c>
      <c r="F510" s="1">
        <f t="shared" si="46"/>
        <v>0</v>
      </c>
      <c r="G510" s="1">
        <f t="shared" si="47"/>
        <v>2872</v>
      </c>
    </row>
    <row r="511" spans="1:7" x14ac:dyDescent="0.25">
      <c r="A511" s="1">
        <v>510</v>
      </c>
      <c r="B511">
        <v>0.25436372033915799</v>
      </c>
      <c r="C511" s="1">
        <f t="shared" si="43"/>
        <v>150</v>
      </c>
      <c r="D511" s="1">
        <f t="shared" si="44"/>
        <v>351</v>
      </c>
      <c r="E511" s="1">
        <f t="shared" si="45"/>
        <v>351</v>
      </c>
      <c r="F511" s="1">
        <f t="shared" si="46"/>
        <v>49</v>
      </c>
      <c r="G511" s="1">
        <f t="shared" si="47"/>
        <v>2502.54</v>
      </c>
    </row>
    <row r="512" spans="1:7" x14ac:dyDescent="0.25">
      <c r="A512" s="1">
        <v>511</v>
      </c>
      <c r="B512">
        <v>0.57256586621834915</v>
      </c>
      <c r="C512" s="1">
        <f t="shared" si="43"/>
        <v>86</v>
      </c>
      <c r="D512" s="1">
        <f t="shared" si="44"/>
        <v>415</v>
      </c>
      <c r="E512" s="1">
        <f t="shared" si="45"/>
        <v>400</v>
      </c>
      <c r="F512" s="1">
        <f t="shared" si="46"/>
        <v>0</v>
      </c>
      <c r="G512" s="1">
        <f t="shared" si="47"/>
        <v>2872</v>
      </c>
    </row>
    <row r="513" spans="1:7" x14ac:dyDescent="0.25">
      <c r="A513" s="1">
        <v>512</v>
      </c>
      <c r="B513">
        <v>0.4247950869185545</v>
      </c>
      <c r="C513" s="1">
        <f t="shared" si="43"/>
        <v>116</v>
      </c>
      <c r="D513" s="1">
        <f t="shared" si="44"/>
        <v>385</v>
      </c>
      <c r="E513" s="1">
        <f t="shared" si="45"/>
        <v>385</v>
      </c>
      <c r="F513" s="1">
        <f t="shared" si="46"/>
        <v>15</v>
      </c>
      <c r="G513" s="1">
        <f t="shared" si="47"/>
        <v>2758.9</v>
      </c>
    </row>
    <row r="514" spans="1:7" x14ac:dyDescent="0.25">
      <c r="A514" s="1">
        <v>513</v>
      </c>
      <c r="B514">
        <v>0.41639926548571515</v>
      </c>
      <c r="C514" s="1">
        <f t="shared" ref="C514:C577" si="48">MATCH(B514,$N$2:$N$202,-1)</f>
        <v>118</v>
      </c>
      <c r="D514" s="1">
        <f t="shared" ref="D514:D577" si="49">INDEX($L$2:$L$202,C514)</f>
        <v>383</v>
      </c>
      <c r="E514" s="1">
        <f t="shared" si="45"/>
        <v>383</v>
      </c>
      <c r="F514" s="1">
        <f t="shared" si="46"/>
        <v>17</v>
      </c>
      <c r="G514" s="1">
        <f t="shared" si="47"/>
        <v>2743.82</v>
      </c>
    </row>
    <row r="515" spans="1:7" x14ac:dyDescent="0.25">
      <c r="A515" s="1">
        <v>514</v>
      </c>
      <c r="B515">
        <v>0.88779826721543276</v>
      </c>
      <c r="C515" s="1">
        <f t="shared" si="48"/>
        <v>23</v>
      </c>
      <c r="D515" s="1">
        <f t="shared" si="49"/>
        <v>478</v>
      </c>
      <c r="E515" s="1">
        <f t="shared" ref="E515:E578" si="50">MIN(D515,$I$2)</f>
        <v>400</v>
      </c>
      <c r="F515" s="1">
        <f t="shared" ref="F515:F578" si="51">$I$2-E515</f>
        <v>0</v>
      </c>
      <c r="G515" s="1">
        <f t="shared" ref="G515:G578" si="52">7.5*E515-$I$2/25*8-F515/25*1</f>
        <v>2872</v>
      </c>
    </row>
    <row r="516" spans="1:7" x14ac:dyDescent="0.25">
      <c r="A516" s="1">
        <v>515</v>
      </c>
      <c r="B516">
        <v>0.88341034861555057</v>
      </c>
      <c r="C516" s="1">
        <f t="shared" si="48"/>
        <v>24</v>
      </c>
      <c r="D516" s="1">
        <f t="shared" si="49"/>
        <v>477</v>
      </c>
      <c r="E516" s="1">
        <f t="shared" si="50"/>
        <v>400</v>
      </c>
      <c r="F516" s="1">
        <f t="shared" si="51"/>
        <v>0</v>
      </c>
      <c r="G516" s="1">
        <f t="shared" si="52"/>
        <v>2872</v>
      </c>
    </row>
    <row r="517" spans="1:7" x14ac:dyDescent="0.25">
      <c r="A517" s="1">
        <v>516</v>
      </c>
      <c r="B517">
        <v>4.3184110689013178E-2</v>
      </c>
      <c r="C517" s="1">
        <f t="shared" si="48"/>
        <v>193</v>
      </c>
      <c r="D517" s="1">
        <f t="shared" si="49"/>
        <v>308</v>
      </c>
      <c r="E517" s="1">
        <f t="shared" si="50"/>
        <v>308</v>
      </c>
      <c r="F517" s="1">
        <f t="shared" si="51"/>
        <v>92</v>
      </c>
      <c r="G517" s="1">
        <f t="shared" si="52"/>
        <v>2178.3200000000002</v>
      </c>
    </row>
    <row r="518" spans="1:7" x14ac:dyDescent="0.25">
      <c r="A518" s="1">
        <v>517</v>
      </c>
      <c r="B518">
        <v>0.90586554229257854</v>
      </c>
      <c r="C518" s="1">
        <f t="shared" si="48"/>
        <v>19</v>
      </c>
      <c r="D518" s="1">
        <f t="shared" si="49"/>
        <v>482</v>
      </c>
      <c r="E518" s="1">
        <f t="shared" si="50"/>
        <v>400</v>
      </c>
      <c r="F518" s="1">
        <f t="shared" si="51"/>
        <v>0</v>
      </c>
      <c r="G518" s="1">
        <f t="shared" si="52"/>
        <v>2872</v>
      </c>
    </row>
    <row r="519" spans="1:7" x14ac:dyDescent="0.25">
      <c r="A519" s="1">
        <v>518</v>
      </c>
      <c r="B519">
        <v>0.67013013720137349</v>
      </c>
      <c r="C519" s="1">
        <f t="shared" si="48"/>
        <v>67</v>
      </c>
      <c r="D519" s="1">
        <f t="shared" si="49"/>
        <v>434</v>
      </c>
      <c r="E519" s="1">
        <f t="shared" si="50"/>
        <v>400</v>
      </c>
      <c r="F519" s="1">
        <f t="shared" si="51"/>
        <v>0</v>
      </c>
      <c r="G519" s="1">
        <f t="shared" si="52"/>
        <v>2872</v>
      </c>
    </row>
    <row r="520" spans="1:7" x14ac:dyDescent="0.25">
      <c r="A520" s="1">
        <v>519</v>
      </c>
      <c r="B520">
        <v>0.86521829347776325</v>
      </c>
      <c r="C520" s="1">
        <f t="shared" si="48"/>
        <v>28</v>
      </c>
      <c r="D520" s="1">
        <f t="shared" si="49"/>
        <v>473</v>
      </c>
      <c r="E520" s="1">
        <f t="shared" si="50"/>
        <v>400</v>
      </c>
      <c r="F520" s="1">
        <f t="shared" si="51"/>
        <v>0</v>
      </c>
      <c r="G520" s="1">
        <f t="shared" si="52"/>
        <v>2872</v>
      </c>
    </row>
    <row r="521" spans="1:7" x14ac:dyDescent="0.25">
      <c r="A521" s="1">
        <v>520</v>
      </c>
      <c r="B521">
        <v>0.99864634855719059</v>
      </c>
      <c r="C521" s="1">
        <f t="shared" si="48"/>
        <v>1</v>
      </c>
      <c r="D521" s="1">
        <f t="shared" si="49"/>
        <v>500</v>
      </c>
      <c r="E521" s="1">
        <f t="shared" si="50"/>
        <v>400</v>
      </c>
      <c r="F521" s="1">
        <f t="shared" si="51"/>
        <v>0</v>
      </c>
      <c r="G521" s="1">
        <f t="shared" si="52"/>
        <v>2872</v>
      </c>
    </row>
    <row r="522" spans="1:7" x14ac:dyDescent="0.25">
      <c r="A522" s="1">
        <v>521</v>
      </c>
      <c r="B522">
        <v>0.10206074172799418</v>
      </c>
      <c r="C522" s="1">
        <f t="shared" si="48"/>
        <v>181</v>
      </c>
      <c r="D522" s="1">
        <f t="shared" si="49"/>
        <v>320</v>
      </c>
      <c r="E522" s="1">
        <f t="shared" si="50"/>
        <v>320</v>
      </c>
      <c r="F522" s="1">
        <f t="shared" si="51"/>
        <v>80</v>
      </c>
      <c r="G522" s="1">
        <f t="shared" si="52"/>
        <v>2268.8000000000002</v>
      </c>
    </row>
    <row r="523" spans="1:7" x14ac:dyDescent="0.25">
      <c r="A523" s="1">
        <v>522</v>
      </c>
      <c r="B523">
        <v>0.24508306944646152</v>
      </c>
      <c r="C523" s="1">
        <f t="shared" si="48"/>
        <v>152</v>
      </c>
      <c r="D523" s="1">
        <f t="shared" si="49"/>
        <v>349</v>
      </c>
      <c r="E523" s="1">
        <f t="shared" si="50"/>
        <v>349</v>
      </c>
      <c r="F523" s="1">
        <f t="shared" si="51"/>
        <v>51</v>
      </c>
      <c r="G523" s="1">
        <f t="shared" si="52"/>
        <v>2487.46</v>
      </c>
    </row>
    <row r="524" spans="1:7" x14ac:dyDescent="0.25">
      <c r="A524" s="1">
        <v>523</v>
      </c>
      <c r="B524">
        <v>0.88630950463615188</v>
      </c>
      <c r="C524" s="1">
        <f t="shared" si="48"/>
        <v>23</v>
      </c>
      <c r="D524" s="1">
        <f t="shared" si="49"/>
        <v>478</v>
      </c>
      <c r="E524" s="1">
        <f t="shared" si="50"/>
        <v>400</v>
      </c>
      <c r="F524" s="1">
        <f t="shared" si="51"/>
        <v>0</v>
      </c>
      <c r="G524" s="1">
        <f t="shared" si="52"/>
        <v>2872</v>
      </c>
    </row>
    <row r="525" spans="1:7" x14ac:dyDescent="0.25">
      <c r="A525" s="1">
        <v>524</v>
      </c>
      <c r="B525">
        <v>0.58501185123053179</v>
      </c>
      <c r="C525" s="1">
        <f t="shared" si="48"/>
        <v>84</v>
      </c>
      <c r="D525" s="1">
        <f t="shared" si="49"/>
        <v>417</v>
      </c>
      <c r="E525" s="1">
        <f t="shared" si="50"/>
        <v>400</v>
      </c>
      <c r="F525" s="1">
        <f t="shared" si="51"/>
        <v>0</v>
      </c>
      <c r="G525" s="1">
        <f t="shared" si="52"/>
        <v>2872</v>
      </c>
    </row>
    <row r="526" spans="1:7" x14ac:dyDescent="0.25">
      <c r="A526" s="1">
        <v>525</v>
      </c>
      <c r="B526">
        <v>0.43021329097433192</v>
      </c>
      <c r="C526" s="1">
        <f t="shared" si="48"/>
        <v>115</v>
      </c>
      <c r="D526" s="1">
        <f t="shared" si="49"/>
        <v>386</v>
      </c>
      <c r="E526" s="1">
        <f t="shared" si="50"/>
        <v>386</v>
      </c>
      <c r="F526" s="1">
        <f t="shared" si="51"/>
        <v>14</v>
      </c>
      <c r="G526" s="1">
        <f t="shared" si="52"/>
        <v>2766.44</v>
      </c>
    </row>
    <row r="527" spans="1:7" x14ac:dyDescent="0.25">
      <c r="A527" s="1">
        <v>526</v>
      </c>
      <c r="B527">
        <v>0.19026200280645178</v>
      </c>
      <c r="C527" s="1">
        <f t="shared" si="48"/>
        <v>163</v>
      </c>
      <c r="D527" s="1">
        <f t="shared" si="49"/>
        <v>338</v>
      </c>
      <c r="E527" s="1">
        <f t="shared" si="50"/>
        <v>338</v>
      </c>
      <c r="F527" s="1">
        <f t="shared" si="51"/>
        <v>62</v>
      </c>
      <c r="G527" s="1">
        <f t="shared" si="52"/>
        <v>2404.52</v>
      </c>
    </row>
    <row r="528" spans="1:7" x14ac:dyDescent="0.25">
      <c r="A528" s="1">
        <v>527</v>
      </c>
      <c r="B528">
        <v>0.50977184765586003</v>
      </c>
      <c r="C528" s="1">
        <f t="shared" si="48"/>
        <v>99</v>
      </c>
      <c r="D528" s="1">
        <f t="shared" si="49"/>
        <v>402</v>
      </c>
      <c r="E528" s="1">
        <f t="shared" si="50"/>
        <v>400</v>
      </c>
      <c r="F528" s="1">
        <f t="shared" si="51"/>
        <v>0</v>
      </c>
      <c r="G528" s="1">
        <f t="shared" si="52"/>
        <v>2872</v>
      </c>
    </row>
    <row r="529" spans="1:7" x14ac:dyDescent="0.25">
      <c r="A529" s="1">
        <v>528</v>
      </c>
      <c r="B529">
        <v>9.2511660903541015E-2</v>
      </c>
      <c r="C529" s="1">
        <f t="shared" si="48"/>
        <v>183</v>
      </c>
      <c r="D529" s="1">
        <f t="shared" si="49"/>
        <v>318</v>
      </c>
      <c r="E529" s="1">
        <f t="shared" si="50"/>
        <v>318</v>
      </c>
      <c r="F529" s="1">
        <f t="shared" si="51"/>
        <v>82</v>
      </c>
      <c r="G529" s="1">
        <f t="shared" si="52"/>
        <v>2253.7199999999998</v>
      </c>
    </row>
    <row r="530" spans="1:7" x14ac:dyDescent="0.25">
      <c r="A530" s="1">
        <v>529</v>
      </c>
      <c r="B530">
        <v>9.5779604858700518E-2</v>
      </c>
      <c r="C530" s="1">
        <f t="shared" si="48"/>
        <v>182</v>
      </c>
      <c r="D530" s="1">
        <f t="shared" si="49"/>
        <v>319</v>
      </c>
      <c r="E530" s="1">
        <f t="shared" si="50"/>
        <v>319</v>
      </c>
      <c r="F530" s="1">
        <f t="shared" si="51"/>
        <v>81</v>
      </c>
      <c r="G530" s="1">
        <f t="shared" si="52"/>
        <v>2261.2600000000002</v>
      </c>
    </row>
    <row r="531" spans="1:7" x14ac:dyDescent="0.25">
      <c r="A531" s="1">
        <v>530</v>
      </c>
      <c r="B531">
        <v>0.13218478643411535</v>
      </c>
      <c r="C531" s="1">
        <f t="shared" si="48"/>
        <v>175</v>
      </c>
      <c r="D531" s="1">
        <f t="shared" si="49"/>
        <v>326</v>
      </c>
      <c r="E531" s="1">
        <f t="shared" si="50"/>
        <v>326</v>
      </c>
      <c r="F531" s="1">
        <f t="shared" si="51"/>
        <v>74</v>
      </c>
      <c r="G531" s="1">
        <f t="shared" si="52"/>
        <v>2314.04</v>
      </c>
    </row>
    <row r="532" spans="1:7" x14ac:dyDescent="0.25">
      <c r="A532" s="1">
        <v>531</v>
      </c>
      <c r="B532">
        <v>0.91645024418203636</v>
      </c>
      <c r="C532" s="1">
        <f t="shared" si="48"/>
        <v>17</v>
      </c>
      <c r="D532" s="1">
        <f t="shared" si="49"/>
        <v>484</v>
      </c>
      <c r="E532" s="1">
        <f t="shared" si="50"/>
        <v>400</v>
      </c>
      <c r="F532" s="1">
        <f t="shared" si="51"/>
        <v>0</v>
      </c>
      <c r="G532" s="1">
        <f t="shared" si="52"/>
        <v>2872</v>
      </c>
    </row>
    <row r="533" spans="1:7" x14ac:dyDescent="0.25">
      <c r="A533" s="1">
        <v>532</v>
      </c>
      <c r="B533">
        <v>0.49822112061665647</v>
      </c>
      <c r="C533" s="1">
        <f t="shared" si="48"/>
        <v>101</v>
      </c>
      <c r="D533" s="1">
        <f t="shared" si="49"/>
        <v>400</v>
      </c>
      <c r="E533" s="1">
        <f t="shared" si="50"/>
        <v>400</v>
      </c>
      <c r="F533" s="1">
        <f t="shared" si="51"/>
        <v>0</v>
      </c>
      <c r="G533" s="1">
        <f t="shared" si="52"/>
        <v>2872</v>
      </c>
    </row>
    <row r="534" spans="1:7" x14ac:dyDescent="0.25">
      <c r="A534" s="1">
        <v>533</v>
      </c>
      <c r="B534">
        <v>0.2427180830857667</v>
      </c>
      <c r="C534" s="1">
        <f t="shared" si="48"/>
        <v>153</v>
      </c>
      <c r="D534" s="1">
        <f t="shared" si="49"/>
        <v>348</v>
      </c>
      <c r="E534" s="1">
        <f t="shared" si="50"/>
        <v>348</v>
      </c>
      <c r="F534" s="1">
        <f t="shared" si="51"/>
        <v>52</v>
      </c>
      <c r="G534" s="1">
        <f t="shared" si="52"/>
        <v>2479.92</v>
      </c>
    </row>
    <row r="535" spans="1:7" x14ac:dyDescent="0.25">
      <c r="A535" s="1">
        <v>534</v>
      </c>
      <c r="B535">
        <v>0.2302786726529984</v>
      </c>
      <c r="C535" s="1">
        <f t="shared" si="48"/>
        <v>155</v>
      </c>
      <c r="D535" s="1">
        <f t="shared" si="49"/>
        <v>346</v>
      </c>
      <c r="E535" s="1">
        <f t="shared" si="50"/>
        <v>346</v>
      </c>
      <c r="F535" s="1">
        <f t="shared" si="51"/>
        <v>54</v>
      </c>
      <c r="G535" s="1">
        <f t="shared" si="52"/>
        <v>2464.84</v>
      </c>
    </row>
    <row r="536" spans="1:7" x14ac:dyDescent="0.25">
      <c r="A536" s="1">
        <v>535</v>
      </c>
      <c r="B536">
        <v>0.63236144495298574</v>
      </c>
      <c r="C536" s="1">
        <f t="shared" si="48"/>
        <v>74</v>
      </c>
      <c r="D536" s="1">
        <f t="shared" si="49"/>
        <v>427</v>
      </c>
      <c r="E536" s="1">
        <f t="shared" si="50"/>
        <v>400</v>
      </c>
      <c r="F536" s="1">
        <f t="shared" si="51"/>
        <v>0</v>
      </c>
      <c r="G536" s="1">
        <f t="shared" si="52"/>
        <v>2872</v>
      </c>
    </row>
    <row r="537" spans="1:7" x14ac:dyDescent="0.25">
      <c r="A537" s="1">
        <v>536</v>
      </c>
      <c r="B537">
        <v>0.63722720848455239</v>
      </c>
      <c r="C537" s="1">
        <f t="shared" si="48"/>
        <v>73</v>
      </c>
      <c r="D537" s="1">
        <f t="shared" si="49"/>
        <v>428</v>
      </c>
      <c r="E537" s="1">
        <f t="shared" si="50"/>
        <v>400</v>
      </c>
      <c r="F537" s="1">
        <f t="shared" si="51"/>
        <v>0</v>
      </c>
      <c r="G537" s="1">
        <f t="shared" si="52"/>
        <v>2872</v>
      </c>
    </row>
    <row r="538" spans="1:7" x14ac:dyDescent="0.25">
      <c r="A538" s="1">
        <v>537</v>
      </c>
      <c r="B538">
        <v>3.1098899793113755E-2</v>
      </c>
      <c r="C538" s="1">
        <f t="shared" si="48"/>
        <v>195</v>
      </c>
      <c r="D538" s="1">
        <f t="shared" si="49"/>
        <v>306</v>
      </c>
      <c r="E538" s="1">
        <f t="shared" si="50"/>
        <v>306</v>
      </c>
      <c r="F538" s="1">
        <f t="shared" si="51"/>
        <v>94</v>
      </c>
      <c r="G538" s="1">
        <f t="shared" si="52"/>
        <v>2163.2399999999998</v>
      </c>
    </row>
    <row r="539" spans="1:7" x14ac:dyDescent="0.25">
      <c r="A539" s="1">
        <v>538</v>
      </c>
      <c r="B539">
        <v>0.86237704936412152</v>
      </c>
      <c r="C539" s="1">
        <f t="shared" si="48"/>
        <v>28</v>
      </c>
      <c r="D539" s="1">
        <f t="shared" si="49"/>
        <v>473</v>
      </c>
      <c r="E539" s="1">
        <f t="shared" si="50"/>
        <v>400</v>
      </c>
      <c r="F539" s="1">
        <f t="shared" si="51"/>
        <v>0</v>
      </c>
      <c r="G539" s="1">
        <f t="shared" si="52"/>
        <v>2872</v>
      </c>
    </row>
    <row r="540" spans="1:7" x14ac:dyDescent="0.25">
      <c r="A540" s="1">
        <v>539</v>
      </c>
      <c r="B540">
        <v>0.90711817136619122</v>
      </c>
      <c r="C540" s="1">
        <f t="shared" si="48"/>
        <v>19</v>
      </c>
      <c r="D540" s="1">
        <f t="shared" si="49"/>
        <v>482</v>
      </c>
      <c r="E540" s="1">
        <f t="shared" si="50"/>
        <v>400</v>
      </c>
      <c r="F540" s="1">
        <f t="shared" si="51"/>
        <v>0</v>
      </c>
      <c r="G540" s="1">
        <f t="shared" si="52"/>
        <v>2872</v>
      </c>
    </row>
    <row r="541" spans="1:7" x14ac:dyDescent="0.25">
      <c r="A541" s="1">
        <v>540</v>
      </c>
      <c r="B541">
        <v>0.22547484996560319</v>
      </c>
      <c r="C541" s="1">
        <f t="shared" si="48"/>
        <v>156</v>
      </c>
      <c r="D541" s="1">
        <f t="shared" si="49"/>
        <v>345</v>
      </c>
      <c r="E541" s="1">
        <f t="shared" si="50"/>
        <v>345</v>
      </c>
      <c r="F541" s="1">
        <f t="shared" si="51"/>
        <v>55</v>
      </c>
      <c r="G541" s="1">
        <f t="shared" si="52"/>
        <v>2457.3000000000002</v>
      </c>
    </row>
    <row r="542" spans="1:7" x14ac:dyDescent="0.25">
      <c r="A542" s="1">
        <v>541</v>
      </c>
      <c r="B542">
        <v>0.68318819279152687</v>
      </c>
      <c r="C542" s="1">
        <f t="shared" si="48"/>
        <v>64</v>
      </c>
      <c r="D542" s="1">
        <f t="shared" si="49"/>
        <v>437</v>
      </c>
      <c r="E542" s="1">
        <f t="shared" si="50"/>
        <v>400</v>
      </c>
      <c r="F542" s="1">
        <f t="shared" si="51"/>
        <v>0</v>
      </c>
      <c r="G542" s="1">
        <f t="shared" si="52"/>
        <v>2872</v>
      </c>
    </row>
    <row r="543" spans="1:7" x14ac:dyDescent="0.25">
      <c r="A543" s="1">
        <v>542</v>
      </c>
      <c r="B543">
        <v>0.66252666461635235</v>
      </c>
      <c r="C543" s="1">
        <f t="shared" si="48"/>
        <v>68</v>
      </c>
      <c r="D543" s="1">
        <f t="shared" si="49"/>
        <v>433</v>
      </c>
      <c r="E543" s="1">
        <f t="shared" si="50"/>
        <v>400</v>
      </c>
      <c r="F543" s="1">
        <f t="shared" si="51"/>
        <v>0</v>
      </c>
      <c r="G543" s="1">
        <f t="shared" si="52"/>
        <v>2872</v>
      </c>
    </row>
    <row r="544" spans="1:7" x14ac:dyDescent="0.25">
      <c r="A544" s="1">
        <v>543</v>
      </c>
      <c r="B544">
        <v>0.38106791998186607</v>
      </c>
      <c r="C544" s="1">
        <f t="shared" si="48"/>
        <v>125</v>
      </c>
      <c r="D544" s="1">
        <f t="shared" si="49"/>
        <v>376</v>
      </c>
      <c r="E544" s="1">
        <f t="shared" si="50"/>
        <v>376</v>
      </c>
      <c r="F544" s="1">
        <f t="shared" si="51"/>
        <v>24</v>
      </c>
      <c r="G544" s="1">
        <f t="shared" si="52"/>
        <v>2691.04</v>
      </c>
    </row>
    <row r="545" spans="1:7" x14ac:dyDescent="0.25">
      <c r="A545" s="1">
        <v>544</v>
      </c>
      <c r="B545">
        <v>0.1211947976896105</v>
      </c>
      <c r="C545" s="1">
        <f t="shared" si="48"/>
        <v>177</v>
      </c>
      <c r="D545" s="1">
        <f t="shared" si="49"/>
        <v>324</v>
      </c>
      <c r="E545" s="1">
        <f t="shared" si="50"/>
        <v>324</v>
      </c>
      <c r="F545" s="1">
        <f t="shared" si="51"/>
        <v>76</v>
      </c>
      <c r="G545" s="1">
        <f t="shared" si="52"/>
        <v>2298.96</v>
      </c>
    </row>
    <row r="546" spans="1:7" x14ac:dyDescent="0.25">
      <c r="A546" s="1">
        <v>545</v>
      </c>
      <c r="B546">
        <v>2.4617443454244659E-2</v>
      </c>
      <c r="C546" s="1">
        <f t="shared" si="48"/>
        <v>197</v>
      </c>
      <c r="D546" s="1">
        <f t="shared" si="49"/>
        <v>304</v>
      </c>
      <c r="E546" s="1">
        <f t="shared" si="50"/>
        <v>304</v>
      </c>
      <c r="F546" s="1">
        <f t="shared" si="51"/>
        <v>96</v>
      </c>
      <c r="G546" s="1">
        <f t="shared" si="52"/>
        <v>2148.16</v>
      </c>
    </row>
    <row r="547" spans="1:7" x14ac:dyDescent="0.25">
      <c r="A547" s="1">
        <v>546</v>
      </c>
      <c r="B547">
        <v>0.31315851081907409</v>
      </c>
      <c r="C547" s="1">
        <f t="shared" si="48"/>
        <v>139</v>
      </c>
      <c r="D547" s="1">
        <f t="shared" si="49"/>
        <v>362</v>
      </c>
      <c r="E547" s="1">
        <f t="shared" si="50"/>
        <v>362</v>
      </c>
      <c r="F547" s="1">
        <f t="shared" si="51"/>
        <v>38</v>
      </c>
      <c r="G547" s="1">
        <f t="shared" si="52"/>
        <v>2585.48</v>
      </c>
    </row>
    <row r="548" spans="1:7" x14ac:dyDescent="0.25">
      <c r="A548" s="1">
        <v>547</v>
      </c>
      <c r="B548">
        <v>0.51384711740733668</v>
      </c>
      <c r="C548" s="1">
        <f t="shared" si="48"/>
        <v>98</v>
      </c>
      <c r="D548" s="1">
        <f t="shared" si="49"/>
        <v>403</v>
      </c>
      <c r="E548" s="1">
        <f t="shared" si="50"/>
        <v>400</v>
      </c>
      <c r="F548" s="1">
        <f t="shared" si="51"/>
        <v>0</v>
      </c>
      <c r="G548" s="1">
        <f t="shared" si="52"/>
        <v>2872</v>
      </c>
    </row>
    <row r="549" spans="1:7" x14ac:dyDescent="0.25">
      <c r="A549" s="1">
        <v>548</v>
      </c>
      <c r="B549">
        <v>0.35897414654627313</v>
      </c>
      <c r="C549" s="1">
        <f t="shared" si="48"/>
        <v>129</v>
      </c>
      <c r="D549" s="1">
        <f t="shared" si="49"/>
        <v>372</v>
      </c>
      <c r="E549" s="1">
        <f t="shared" si="50"/>
        <v>372</v>
      </c>
      <c r="F549" s="1">
        <f t="shared" si="51"/>
        <v>28</v>
      </c>
      <c r="G549" s="1">
        <f t="shared" si="52"/>
        <v>2660.88</v>
      </c>
    </row>
    <row r="550" spans="1:7" x14ac:dyDescent="0.25">
      <c r="A550" s="1">
        <v>549</v>
      </c>
      <c r="B550">
        <v>0.8612942203291819</v>
      </c>
      <c r="C550" s="1">
        <f t="shared" si="48"/>
        <v>28</v>
      </c>
      <c r="D550" s="1">
        <f t="shared" si="49"/>
        <v>473</v>
      </c>
      <c r="E550" s="1">
        <f t="shared" si="50"/>
        <v>400</v>
      </c>
      <c r="F550" s="1">
        <f t="shared" si="51"/>
        <v>0</v>
      </c>
      <c r="G550" s="1">
        <f t="shared" si="52"/>
        <v>2872</v>
      </c>
    </row>
    <row r="551" spans="1:7" x14ac:dyDescent="0.25">
      <c r="A551" s="1">
        <v>550</v>
      </c>
      <c r="B551">
        <v>0.55477114778357239</v>
      </c>
      <c r="C551" s="1">
        <f t="shared" si="48"/>
        <v>90</v>
      </c>
      <c r="D551" s="1">
        <f t="shared" si="49"/>
        <v>411</v>
      </c>
      <c r="E551" s="1">
        <f t="shared" si="50"/>
        <v>400</v>
      </c>
      <c r="F551" s="1">
        <f t="shared" si="51"/>
        <v>0</v>
      </c>
      <c r="G551" s="1">
        <f t="shared" si="52"/>
        <v>2872</v>
      </c>
    </row>
    <row r="552" spans="1:7" x14ac:dyDescent="0.25">
      <c r="A552" s="1">
        <v>551</v>
      </c>
      <c r="B552">
        <v>0.89934057730944228</v>
      </c>
      <c r="C552" s="1">
        <f t="shared" si="48"/>
        <v>21</v>
      </c>
      <c r="D552" s="1">
        <f t="shared" si="49"/>
        <v>480</v>
      </c>
      <c r="E552" s="1">
        <f t="shared" si="50"/>
        <v>400</v>
      </c>
      <c r="F552" s="1">
        <f t="shared" si="51"/>
        <v>0</v>
      </c>
      <c r="G552" s="1">
        <f t="shared" si="52"/>
        <v>2872</v>
      </c>
    </row>
    <row r="553" spans="1:7" x14ac:dyDescent="0.25">
      <c r="A553" s="1">
        <v>552</v>
      </c>
      <c r="B553">
        <v>0.39094823359956909</v>
      </c>
      <c r="C553" s="1">
        <f t="shared" si="48"/>
        <v>123</v>
      </c>
      <c r="D553" s="1">
        <f t="shared" si="49"/>
        <v>378</v>
      </c>
      <c r="E553" s="1">
        <f t="shared" si="50"/>
        <v>378</v>
      </c>
      <c r="F553" s="1">
        <f t="shared" si="51"/>
        <v>22</v>
      </c>
      <c r="G553" s="1">
        <f t="shared" si="52"/>
        <v>2706.12</v>
      </c>
    </row>
    <row r="554" spans="1:7" x14ac:dyDescent="0.25">
      <c r="A554" s="1">
        <v>553</v>
      </c>
      <c r="B554">
        <v>0.95368447812347612</v>
      </c>
      <c r="C554" s="1">
        <f t="shared" si="48"/>
        <v>10</v>
      </c>
      <c r="D554" s="1">
        <f t="shared" si="49"/>
        <v>491</v>
      </c>
      <c r="E554" s="1">
        <f t="shared" si="50"/>
        <v>400</v>
      </c>
      <c r="F554" s="1">
        <f t="shared" si="51"/>
        <v>0</v>
      </c>
      <c r="G554" s="1">
        <f t="shared" si="52"/>
        <v>2872</v>
      </c>
    </row>
    <row r="555" spans="1:7" x14ac:dyDescent="0.25">
      <c r="A555" s="1">
        <v>554</v>
      </c>
      <c r="B555">
        <v>0.28201657033765415</v>
      </c>
      <c r="C555" s="1">
        <f t="shared" si="48"/>
        <v>145</v>
      </c>
      <c r="D555" s="1">
        <f t="shared" si="49"/>
        <v>356</v>
      </c>
      <c r="E555" s="1">
        <f t="shared" si="50"/>
        <v>356</v>
      </c>
      <c r="F555" s="1">
        <f t="shared" si="51"/>
        <v>44</v>
      </c>
      <c r="G555" s="1">
        <f t="shared" si="52"/>
        <v>2540.2399999999998</v>
      </c>
    </row>
    <row r="556" spans="1:7" x14ac:dyDescent="0.25">
      <c r="A556" s="1">
        <v>555</v>
      </c>
      <c r="B556">
        <v>0.27541596266884005</v>
      </c>
      <c r="C556" s="1">
        <f t="shared" si="48"/>
        <v>146</v>
      </c>
      <c r="D556" s="1">
        <f t="shared" si="49"/>
        <v>355</v>
      </c>
      <c r="E556" s="1">
        <f t="shared" si="50"/>
        <v>355</v>
      </c>
      <c r="F556" s="1">
        <f t="shared" si="51"/>
        <v>45</v>
      </c>
      <c r="G556" s="1">
        <f t="shared" si="52"/>
        <v>2532.6999999999998</v>
      </c>
    </row>
    <row r="557" spans="1:7" x14ac:dyDescent="0.25">
      <c r="A557" s="1">
        <v>556</v>
      </c>
      <c r="B557">
        <v>0.40247072847358922</v>
      </c>
      <c r="C557" s="1">
        <f t="shared" si="48"/>
        <v>121</v>
      </c>
      <c r="D557" s="1">
        <f t="shared" si="49"/>
        <v>380</v>
      </c>
      <c r="E557" s="1">
        <f t="shared" si="50"/>
        <v>380</v>
      </c>
      <c r="F557" s="1">
        <f t="shared" si="51"/>
        <v>20</v>
      </c>
      <c r="G557" s="1">
        <f t="shared" si="52"/>
        <v>2721.2</v>
      </c>
    </row>
    <row r="558" spans="1:7" x14ac:dyDescent="0.25">
      <c r="A558" s="1">
        <v>557</v>
      </c>
      <c r="B558">
        <v>0.34750191750573423</v>
      </c>
      <c r="C558" s="1">
        <f t="shared" si="48"/>
        <v>132</v>
      </c>
      <c r="D558" s="1">
        <f t="shared" si="49"/>
        <v>369</v>
      </c>
      <c r="E558" s="1">
        <f t="shared" si="50"/>
        <v>369</v>
      </c>
      <c r="F558" s="1">
        <f t="shared" si="51"/>
        <v>31</v>
      </c>
      <c r="G558" s="1">
        <f t="shared" si="52"/>
        <v>2638.26</v>
      </c>
    </row>
    <row r="559" spans="1:7" x14ac:dyDescent="0.25">
      <c r="A559" s="1">
        <v>558</v>
      </c>
      <c r="B559">
        <v>9.1207046808968961E-2</v>
      </c>
      <c r="C559" s="1">
        <f t="shared" si="48"/>
        <v>183</v>
      </c>
      <c r="D559" s="1">
        <f t="shared" si="49"/>
        <v>318</v>
      </c>
      <c r="E559" s="1">
        <f t="shared" si="50"/>
        <v>318</v>
      </c>
      <c r="F559" s="1">
        <f t="shared" si="51"/>
        <v>82</v>
      </c>
      <c r="G559" s="1">
        <f t="shared" si="52"/>
        <v>2253.7199999999998</v>
      </c>
    </row>
    <row r="560" spans="1:7" x14ac:dyDescent="0.25">
      <c r="A560" s="1">
        <v>559</v>
      </c>
      <c r="B560">
        <v>0.68962843484203395</v>
      </c>
      <c r="C560" s="1">
        <f t="shared" si="48"/>
        <v>63</v>
      </c>
      <c r="D560" s="1">
        <f t="shared" si="49"/>
        <v>438</v>
      </c>
      <c r="E560" s="1">
        <f t="shared" si="50"/>
        <v>400</v>
      </c>
      <c r="F560" s="1">
        <f t="shared" si="51"/>
        <v>0</v>
      </c>
      <c r="G560" s="1">
        <f t="shared" si="52"/>
        <v>2872</v>
      </c>
    </row>
    <row r="561" spans="1:7" x14ac:dyDescent="0.25">
      <c r="A561" s="1">
        <v>560</v>
      </c>
      <c r="B561">
        <v>1.6994496238642576E-2</v>
      </c>
      <c r="C561" s="1">
        <f t="shared" si="48"/>
        <v>198</v>
      </c>
      <c r="D561" s="1">
        <f t="shared" si="49"/>
        <v>303</v>
      </c>
      <c r="E561" s="1">
        <f t="shared" si="50"/>
        <v>303</v>
      </c>
      <c r="F561" s="1">
        <f t="shared" si="51"/>
        <v>97</v>
      </c>
      <c r="G561" s="1">
        <f t="shared" si="52"/>
        <v>2140.62</v>
      </c>
    </row>
    <row r="562" spans="1:7" x14ac:dyDescent="0.25">
      <c r="A562" s="1">
        <v>561</v>
      </c>
      <c r="B562">
        <v>0.64138451172953859</v>
      </c>
      <c r="C562" s="1">
        <f t="shared" si="48"/>
        <v>73</v>
      </c>
      <c r="D562" s="1">
        <f t="shared" si="49"/>
        <v>428</v>
      </c>
      <c r="E562" s="1">
        <f t="shared" si="50"/>
        <v>400</v>
      </c>
      <c r="F562" s="1">
        <f t="shared" si="51"/>
        <v>0</v>
      </c>
      <c r="G562" s="1">
        <f t="shared" si="52"/>
        <v>2872</v>
      </c>
    </row>
    <row r="563" spans="1:7" x14ac:dyDescent="0.25">
      <c r="A563" s="1">
        <v>562</v>
      </c>
      <c r="B563">
        <v>0.18733270188761353</v>
      </c>
      <c r="C563" s="1">
        <f t="shared" si="48"/>
        <v>164</v>
      </c>
      <c r="D563" s="1">
        <f t="shared" si="49"/>
        <v>337</v>
      </c>
      <c r="E563" s="1">
        <f t="shared" si="50"/>
        <v>337</v>
      </c>
      <c r="F563" s="1">
        <f t="shared" si="51"/>
        <v>63</v>
      </c>
      <c r="G563" s="1">
        <f t="shared" si="52"/>
        <v>2396.98</v>
      </c>
    </row>
    <row r="564" spans="1:7" x14ac:dyDescent="0.25">
      <c r="A564" s="1">
        <v>563</v>
      </c>
      <c r="B564">
        <v>0.24670588911131697</v>
      </c>
      <c r="C564" s="1">
        <f t="shared" si="48"/>
        <v>152</v>
      </c>
      <c r="D564" s="1">
        <f t="shared" si="49"/>
        <v>349</v>
      </c>
      <c r="E564" s="1">
        <f t="shared" si="50"/>
        <v>349</v>
      </c>
      <c r="F564" s="1">
        <f t="shared" si="51"/>
        <v>51</v>
      </c>
      <c r="G564" s="1">
        <f t="shared" si="52"/>
        <v>2487.46</v>
      </c>
    </row>
    <row r="565" spans="1:7" x14ac:dyDescent="0.25">
      <c r="A565" s="1">
        <v>564</v>
      </c>
      <c r="B565">
        <v>0.26125566003129563</v>
      </c>
      <c r="C565" s="1">
        <f t="shared" si="48"/>
        <v>149</v>
      </c>
      <c r="D565" s="1">
        <f t="shared" si="49"/>
        <v>352</v>
      </c>
      <c r="E565" s="1">
        <f t="shared" si="50"/>
        <v>352</v>
      </c>
      <c r="F565" s="1">
        <f t="shared" si="51"/>
        <v>48</v>
      </c>
      <c r="G565" s="1">
        <f t="shared" si="52"/>
        <v>2510.08</v>
      </c>
    </row>
    <row r="566" spans="1:7" x14ac:dyDescent="0.25">
      <c r="A566" s="1">
        <v>565</v>
      </c>
      <c r="B566">
        <v>0.61961075887798178</v>
      </c>
      <c r="C566" s="1">
        <f t="shared" si="48"/>
        <v>77</v>
      </c>
      <c r="D566" s="1">
        <f t="shared" si="49"/>
        <v>424</v>
      </c>
      <c r="E566" s="1">
        <f t="shared" si="50"/>
        <v>400</v>
      </c>
      <c r="F566" s="1">
        <f t="shared" si="51"/>
        <v>0</v>
      </c>
      <c r="G566" s="1">
        <f t="shared" si="52"/>
        <v>2872</v>
      </c>
    </row>
    <row r="567" spans="1:7" x14ac:dyDescent="0.25">
      <c r="A567" s="1">
        <v>566</v>
      </c>
      <c r="B567">
        <v>0.64948160655241449</v>
      </c>
      <c r="C567" s="1">
        <f t="shared" si="48"/>
        <v>71</v>
      </c>
      <c r="D567" s="1">
        <f t="shared" si="49"/>
        <v>430</v>
      </c>
      <c r="E567" s="1">
        <f t="shared" si="50"/>
        <v>400</v>
      </c>
      <c r="F567" s="1">
        <f t="shared" si="51"/>
        <v>0</v>
      </c>
      <c r="G567" s="1">
        <f t="shared" si="52"/>
        <v>2872</v>
      </c>
    </row>
    <row r="568" spans="1:7" x14ac:dyDescent="0.25">
      <c r="A568" s="1">
        <v>567</v>
      </c>
      <c r="B568">
        <v>0.59157256056155572</v>
      </c>
      <c r="C568" s="1">
        <f t="shared" si="48"/>
        <v>83</v>
      </c>
      <c r="D568" s="1">
        <f t="shared" si="49"/>
        <v>418</v>
      </c>
      <c r="E568" s="1">
        <f t="shared" si="50"/>
        <v>400</v>
      </c>
      <c r="F568" s="1">
        <f t="shared" si="51"/>
        <v>0</v>
      </c>
      <c r="G568" s="1">
        <f t="shared" si="52"/>
        <v>2872</v>
      </c>
    </row>
    <row r="569" spans="1:7" x14ac:dyDescent="0.25">
      <c r="A569" s="1">
        <v>568</v>
      </c>
      <c r="B569">
        <v>0.80531891559993185</v>
      </c>
      <c r="C569" s="1">
        <f t="shared" si="48"/>
        <v>40</v>
      </c>
      <c r="D569" s="1">
        <f t="shared" si="49"/>
        <v>461</v>
      </c>
      <c r="E569" s="1">
        <f t="shared" si="50"/>
        <v>400</v>
      </c>
      <c r="F569" s="1">
        <f t="shared" si="51"/>
        <v>0</v>
      </c>
      <c r="G569" s="1">
        <f t="shared" si="52"/>
        <v>2872</v>
      </c>
    </row>
    <row r="570" spans="1:7" x14ac:dyDescent="0.25">
      <c r="A570" s="1">
        <v>569</v>
      </c>
      <c r="B570">
        <v>0.65677943697782459</v>
      </c>
      <c r="C570" s="1">
        <f t="shared" si="48"/>
        <v>69</v>
      </c>
      <c r="D570" s="1">
        <f t="shared" si="49"/>
        <v>432</v>
      </c>
      <c r="E570" s="1">
        <f t="shared" si="50"/>
        <v>400</v>
      </c>
      <c r="F570" s="1">
        <f t="shared" si="51"/>
        <v>0</v>
      </c>
      <c r="G570" s="1">
        <f t="shared" si="52"/>
        <v>2872</v>
      </c>
    </row>
    <row r="571" spans="1:7" x14ac:dyDescent="0.25">
      <c r="A571" s="1">
        <v>570</v>
      </c>
      <c r="B571">
        <v>0.84033526796634339</v>
      </c>
      <c r="C571" s="1">
        <f t="shared" si="48"/>
        <v>33</v>
      </c>
      <c r="D571" s="1">
        <f t="shared" si="49"/>
        <v>468</v>
      </c>
      <c r="E571" s="1">
        <f t="shared" si="50"/>
        <v>400</v>
      </c>
      <c r="F571" s="1">
        <f t="shared" si="51"/>
        <v>0</v>
      </c>
      <c r="G571" s="1">
        <f t="shared" si="52"/>
        <v>2872</v>
      </c>
    </row>
    <row r="572" spans="1:7" x14ac:dyDescent="0.25">
      <c r="A572" s="1">
        <v>571</v>
      </c>
      <c r="B572">
        <v>6.3532761695808349E-2</v>
      </c>
      <c r="C572" s="1">
        <f t="shared" si="48"/>
        <v>189</v>
      </c>
      <c r="D572" s="1">
        <f t="shared" si="49"/>
        <v>312</v>
      </c>
      <c r="E572" s="1">
        <f t="shared" si="50"/>
        <v>312</v>
      </c>
      <c r="F572" s="1">
        <f t="shared" si="51"/>
        <v>88</v>
      </c>
      <c r="G572" s="1">
        <f t="shared" si="52"/>
        <v>2208.48</v>
      </c>
    </row>
    <row r="573" spans="1:7" x14ac:dyDescent="0.25">
      <c r="A573" s="1">
        <v>572</v>
      </c>
      <c r="B573">
        <v>0.73590133133464963</v>
      </c>
      <c r="C573" s="1">
        <f t="shared" si="48"/>
        <v>54</v>
      </c>
      <c r="D573" s="1">
        <f t="shared" si="49"/>
        <v>447</v>
      </c>
      <c r="E573" s="1">
        <f t="shared" si="50"/>
        <v>400</v>
      </c>
      <c r="F573" s="1">
        <f t="shared" si="51"/>
        <v>0</v>
      </c>
      <c r="G573" s="1">
        <f t="shared" si="52"/>
        <v>2872</v>
      </c>
    </row>
    <row r="574" spans="1:7" x14ac:dyDescent="0.25">
      <c r="A574" s="1">
        <v>573</v>
      </c>
      <c r="B574">
        <v>0.37843411920283776</v>
      </c>
      <c r="C574" s="1">
        <f t="shared" si="48"/>
        <v>125</v>
      </c>
      <c r="D574" s="1">
        <f t="shared" si="49"/>
        <v>376</v>
      </c>
      <c r="E574" s="1">
        <f t="shared" si="50"/>
        <v>376</v>
      </c>
      <c r="F574" s="1">
        <f t="shared" si="51"/>
        <v>24</v>
      </c>
      <c r="G574" s="1">
        <f t="shared" si="52"/>
        <v>2691.04</v>
      </c>
    </row>
    <row r="575" spans="1:7" x14ac:dyDescent="0.25">
      <c r="A575" s="1">
        <v>574</v>
      </c>
      <c r="B575">
        <v>0.81846294406077214</v>
      </c>
      <c r="C575" s="1">
        <f t="shared" si="48"/>
        <v>37</v>
      </c>
      <c r="D575" s="1">
        <f t="shared" si="49"/>
        <v>464</v>
      </c>
      <c r="E575" s="1">
        <f t="shared" si="50"/>
        <v>400</v>
      </c>
      <c r="F575" s="1">
        <f t="shared" si="51"/>
        <v>0</v>
      </c>
      <c r="G575" s="1">
        <f t="shared" si="52"/>
        <v>2872</v>
      </c>
    </row>
    <row r="576" spans="1:7" x14ac:dyDescent="0.25">
      <c r="A576" s="1">
        <v>575</v>
      </c>
      <c r="B576">
        <v>0.61303298058810918</v>
      </c>
      <c r="C576" s="1">
        <f t="shared" si="48"/>
        <v>78</v>
      </c>
      <c r="D576" s="1">
        <f t="shared" si="49"/>
        <v>423</v>
      </c>
      <c r="E576" s="1">
        <f t="shared" si="50"/>
        <v>400</v>
      </c>
      <c r="F576" s="1">
        <f t="shared" si="51"/>
        <v>0</v>
      </c>
      <c r="G576" s="1">
        <f t="shared" si="52"/>
        <v>2872</v>
      </c>
    </row>
    <row r="577" spans="1:7" x14ac:dyDescent="0.25">
      <c r="A577" s="1">
        <v>576</v>
      </c>
      <c r="B577">
        <v>0.4746875078164674</v>
      </c>
      <c r="C577" s="1">
        <f t="shared" si="48"/>
        <v>106</v>
      </c>
      <c r="D577" s="1">
        <f t="shared" si="49"/>
        <v>395</v>
      </c>
      <c r="E577" s="1">
        <f t="shared" si="50"/>
        <v>395</v>
      </c>
      <c r="F577" s="1">
        <f t="shared" si="51"/>
        <v>5</v>
      </c>
      <c r="G577" s="1">
        <f t="shared" si="52"/>
        <v>2834.3</v>
      </c>
    </row>
    <row r="578" spans="1:7" x14ac:dyDescent="0.25">
      <c r="A578" s="1">
        <v>577</v>
      </c>
      <c r="B578">
        <v>0.18362133772611455</v>
      </c>
      <c r="C578" s="1">
        <f t="shared" ref="C578:C641" si="53">MATCH(B578,$N$2:$N$202,-1)</f>
        <v>165</v>
      </c>
      <c r="D578" s="1">
        <f t="shared" ref="D578:D641" si="54">INDEX($L$2:$L$202,C578)</f>
        <v>336</v>
      </c>
      <c r="E578" s="1">
        <f t="shared" si="50"/>
        <v>336</v>
      </c>
      <c r="F578" s="1">
        <f t="shared" si="51"/>
        <v>64</v>
      </c>
      <c r="G578" s="1">
        <f t="shared" si="52"/>
        <v>2389.44</v>
      </c>
    </row>
    <row r="579" spans="1:7" x14ac:dyDescent="0.25">
      <c r="A579" s="1">
        <v>578</v>
      </c>
      <c r="B579">
        <v>0.374958810383618</v>
      </c>
      <c r="C579" s="1">
        <f t="shared" si="53"/>
        <v>126</v>
      </c>
      <c r="D579" s="1">
        <f t="shared" si="54"/>
        <v>375</v>
      </c>
      <c r="E579" s="1">
        <f t="shared" ref="E579:E642" si="55">MIN(D579,$I$2)</f>
        <v>375</v>
      </c>
      <c r="F579" s="1">
        <f t="shared" ref="F579:F642" si="56">$I$2-E579</f>
        <v>25</v>
      </c>
      <c r="G579" s="1">
        <f t="shared" ref="G579:G642" si="57">7.5*E579-$I$2/25*8-F579/25*1</f>
        <v>2683.5</v>
      </c>
    </row>
    <row r="580" spans="1:7" x14ac:dyDescent="0.25">
      <c r="A580" s="1">
        <v>579</v>
      </c>
      <c r="B580">
        <v>0.83392364779609529</v>
      </c>
      <c r="C580" s="1">
        <f t="shared" si="53"/>
        <v>34</v>
      </c>
      <c r="D580" s="1">
        <f t="shared" si="54"/>
        <v>467</v>
      </c>
      <c r="E580" s="1">
        <f t="shared" si="55"/>
        <v>400</v>
      </c>
      <c r="F580" s="1">
        <f t="shared" si="56"/>
        <v>0</v>
      </c>
      <c r="G580" s="1">
        <f t="shared" si="57"/>
        <v>2872</v>
      </c>
    </row>
    <row r="581" spans="1:7" x14ac:dyDescent="0.25">
      <c r="A581" s="1">
        <v>580</v>
      </c>
      <c r="B581">
        <v>0.58514905893509583</v>
      </c>
      <c r="C581" s="1">
        <f t="shared" si="53"/>
        <v>84</v>
      </c>
      <c r="D581" s="1">
        <f t="shared" si="54"/>
        <v>417</v>
      </c>
      <c r="E581" s="1">
        <f t="shared" si="55"/>
        <v>400</v>
      </c>
      <c r="F581" s="1">
        <f t="shared" si="56"/>
        <v>0</v>
      </c>
      <c r="G581" s="1">
        <f t="shared" si="57"/>
        <v>2872</v>
      </c>
    </row>
    <row r="582" spans="1:7" x14ac:dyDescent="0.25">
      <c r="A582" s="1">
        <v>581</v>
      </c>
      <c r="B582">
        <v>0.62671462902415986</v>
      </c>
      <c r="C582" s="1">
        <f t="shared" si="53"/>
        <v>76</v>
      </c>
      <c r="D582" s="1">
        <f t="shared" si="54"/>
        <v>425</v>
      </c>
      <c r="E582" s="1">
        <f t="shared" si="55"/>
        <v>400</v>
      </c>
      <c r="F582" s="1">
        <f t="shared" si="56"/>
        <v>0</v>
      </c>
      <c r="G582" s="1">
        <f t="shared" si="57"/>
        <v>2872</v>
      </c>
    </row>
    <row r="583" spans="1:7" x14ac:dyDescent="0.25">
      <c r="A583" s="1">
        <v>582</v>
      </c>
      <c r="B583">
        <v>0.30673309916689229</v>
      </c>
      <c r="C583" s="1">
        <f t="shared" si="53"/>
        <v>140</v>
      </c>
      <c r="D583" s="1">
        <f t="shared" si="54"/>
        <v>361</v>
      </c>
      <c r="E583" s="1">
        <f t="shared" si="55"/>
        <v>361</v>
      </c>
      <c r="F583" s="1">
        <f t="shared" si="56"/>
        <v>39</v>
      </c>
      <c r="G583" s="1">
        <f t="shared" si="57"/>
        <v>2577.94</v>
      </c>
    </row>
    <row r="584" spans="1:7" x14ac:dyDescent="0.25">
      <c r="A584" s="1">
        <v>583</v>
      </c>
      <c r="B584">
        <v>7.716421028003706E-2</v>
      </c>
      <c r="C584" s="1">
        <f t="shared" si="53"/>
        <v>186</v>
      </c>
      <c r="D584" s="1">
        <f t="shared" si="54"/>
        <v>315</v>
      </c>
      <c r="E584" s="1">
        <f t="shared" si="55"/>
        <v>315</v>
      </c>
      <c r="F584" s="1">
        <f t="shared" si="56"/>
        <v>85</v>
      </c>
      <c r="G584" s="1">
        <f t="shared" si="57"/>
        <v>2231.1</v>
      </c>
    </row>
    <row r="585" spans="1:7" x14ac:dyDescent="0.25">
      <c r="A585" s="1">
        <v>584</v>
      </c>
      <c r="B585">
        <v>2.5917187582991108E-2</v>
      </c>
      <c r="C585" s="1">
        <f t="shared" si="53"/>
        <v>196</v>
      </c>
      <c r="D585" s="1">
        <f t="shared" si="54"/>
        <v>305</v>
      </c>
      <c r="E585" s="1">
        <f t="shared" si="55"/>
        <v>305</v>
      </c>
      <c r="F585" s="1">
        <f t="shared" si="56"/>
        <v>95</v>
      </c>
      <c r="G585" s="1">
        <f t="shared" si="57"/>
        <v>2155.6999999999998</v>
      </c>
    </row>
    <row r="586" spans="1:7" x14ac:dyDescent="0.25">
      <c r="A586" s="1">
        <v>585</v>
      </c>
      <c r="B586">
        <v>0.42421948022421863</v>
      </c>
      <c r="C586" s="1">
        <f t="shared" si="53"/>
        <v>116</v>
      </c>
      <c r="D586" s="1">
        <f t="shared" si="54"/>
        <v>385</v>
      </c>
      <c r="E586" s="1">
        <f t="shared" si="55"/>
        <v>385</v>
      </c>
      <c r="F586" s="1">
        <f t="shared" si="56"/>
        <v>15</v>
      </c>
      <c r="G586" s="1">
        <f t="shared" si="57"/>
        <v>2758.9</v>
      </c>
    </row>
    <row r="587" spans="1:7" x14ac:dyDescent="0.25">
      <c r="A587" s="1">
        <v>586</v>
      </c>
      <c r="B587">
        <v>0.23911100671418217</v>
      </c>
      <c r="C587" s="1">
        <f t="shared" si="53"/>
        <v>153</v>
      </c>
      <c r="D587" s="1">
        <f t="shared" si="54"/>
        <v>348</v>
      </c>
      <c r="E587" s="1">
        <f t="shared" si="55"/>
        <v>348</v>
      </c>
      <c r="F587" s="1">
        <f t="shared" si="56"/>
        <v>52</v>
      </c>
      <c r="G587" s="1">
        <f t="shared" si="57"/>
        <v>2479.92</v>
      </c>
    </row>
    <row r="588" spans="1:7" x14ac:dyDescent="0.25">
      <c r="A588" s="1">
        <v>587</v>
      </c>
      <c r="B588">
        <v>0.21886189330967187</v>
      </c>
      <c r="C588" s="1">
        <f t="shared" si="53"/>
        <v>158</v>
      </c>
      <c r="D588" s="1">
        <f t="shared" si="54"/>
        <v>343</v>
      </c>
      <c r="E588" s="1">
        <f t="shared" si="55"/>
        <v>343</v>
      </c>
      <c r="F588" s="1">
        <f t="shared" si="56"/>
        <v>57</v>
      </c>
      <c r="G588" s="1">
        <f t="shared" si="57"/>
        <v>2442.2199999999998</v>
      </c>
    </row>
    <row r="589" spans="1:7" x14ac:dyDescent="0.25">
      <c r="A589" s="1">
        <v>588</v>
      </c>
      <c r="B589">
        <v>0.25600696736080863</v>
      </c>
      <c r="C589" s="1">
        <f t="shared" si="53"/>
        <v>150</v>
      </c>
      <c r="D589" s="1">
        <f t="shared" si="54"/>
        <v>351</v>
      </c>
      <c r="E589" s="1">
        <f t="shared" si="55"/>
        <v>351</v>
      </c>
      <c r="F589" s="1">
        <f t="shared" si="56"/>
        <v>49</v>
      </c>
      <c r="G589" s="1">
        <f t="shared" si="57"/>
        <v>2502.54</v>
      </c>
    </row>
    <row r="590" spans="1:7" x14ac:dyDescent="0.25">
      <c r="A590" s="1">
        <v>589</v>
      </c>
      <c r="B590">
        <v>0.64447742867195734</v>
      </c>
      <c r="C590" s="1">
        <f t="shared" si="53"/>
        <v>72</v>
      </c>
      <c r="D590" s="1">
        <f t="shared" si="54"/>
        <v>429</v>
      </c>
      <c r="E590" s="1">
        <f t="shared" si="55"/>
        <v>400</v>
      </c>
      <c r="F590" s="1">
        <f t="shared" si="56"/>
        <v>0</v>
      </c>
      <c r="G590" s="1">
        <f t="shared" si="57"/>
        <v>2872</v>
      </c>
    </row>
    <row r="591" spans="1:7" x14ac:dyDescent="0.25">
      <c r="A591" s="1">
        <v>590</v>
      </c>
      <c r="B591">
        <v>0.42647499537826383</v>
      </c>
      <c r="C591" s="1">
        <f t="shared" si="53"/>
        <v>116</v>
      </c>
      <c r="D591" s="1">
        <f t="shared" si="54"/>
        <v>385</v>
      </c>
      <c r="E591" s="1">
        <f t="shared" si="55"/>
        <v>385</v>
      </c>
      <c r="F591" s="1">
        <f t="shared" si="56"/>
        <v>15</v>
      </c>
      <c r="G591" s="1">
        <f t="shared" si="57"/>
        <v>2758.9</v>
      </c>
    </row>
    <row r="592" spans="1:7" x14ac:dyDescent="0.25">
      <c r="A592" s="1">
        <v>591</v>
      </c>
      <c r="B592">
        <v>0.34810735936131809</v>
      </c>
      <c r="C592" s="1">
        <f t="shared" si="53"/>
        <v>132</v>
      </c>
      <c r="D592" s="1">
        <f t="shared" si="54"/>
        <v>369</v>
      </c>
      <c r="E592" s="1">
        <f t="shared" si="55"/>
        <v>369</v>
      </c>
      <c r="F592" s="1">
        <f t="shared" si="56"/>
        <v>31</v>
      </c>
      <c r="G592" s="1">
        <f t="shared" si="57"/>
        <v>2638.26</v>
      </c>
    </row>
    <row r="593" spans="1:7" x14ac:dyDescent="0.25">
      <c r="A593" s="1">
        <v>592</v>
      </c>
      <c r="B593">
        <v>0.68157259424237016</v>
      </c>
      <c r="C593" s="1">
        <f t="shared" si="53"/>
        <v>65</v>
      </c>
      <c r="D593" s="1">
        <f t="shared" si="54"/>
        <v>436</v>
      </c>
      <c r="E593" s="1">
        <f t="shared" si="55"/>
        <v>400</v>
      </c>
      <c r="F593" s="1">
        <f t="shared" si="56"/>
        <v>0</v>
      </c>
      <c r="G593" s="1">
        <f t="shared" si="57"/>
        <v>2872</v>
      </c>
    </row>
    <row r="594" spans="1:7" x14ac:dyDescent="0.25">
      <c r="A594" s="1">
        <v>593</v>
      </c>
      <c r="B594">
        <v>0.13321995589514779</v>
      </c>
      <c r="C594" s="1">
        <f t="shared" si="53"/>
        <v>175</v>
      </c>
      <c r="D594" s="1">
        <f t="shared" si="54"/>
        <v>326</v>
      </c>
      <c r="E594" s="1">
        <f t="shared" si="55"/>
        <v>326</v>
      </c>
      <c r="F594" s="1">
        <f t="shared" si="56"/>
        <v>74</v>
      </c>
      <c r="G594" s="1">
        <f t="shared" si="57"/>
        <v>2314.04</v>
      </c>
    </row>
    <row r="595" spans="1:7" x14ac:dyDescent="0.25">
      <c r="A595" s="1">
        <v>594</v>
      </c>
      <c r="B595">
        <v>0.67516661319678928</v>
      </c>
      <c r="C595" s="1">
        <f t="shared" si="53"/>
        <v>66</v>
      </c>
      <c r="D595" s="1">
        <f t="shared" si="54"/>
        <v>435</v>
      </c>
      <c r="E595" s="1">
        <f t="shared" si="55"/>
        <v>400</v>
      </c>
      <c r="F595" s="1">
        <f t="shared" si="56"/>
        <v>0</v>
      </c>
      <c r="G595" s="1">
        <f t="shared" si="57"/>
        <v>2872</v>
      </c>
    </row>
    <row r="596" spans="1:7" x14ac:dyDescent="0.25">
      <c r="A596" s="1">
        <v>595</v>
      </c>
      <c r="B596">
        <v>8.5377746109265407E-2</v>
      </c>
      <c r="C596" s="1">
        <f t="shared" si="53"/>
        <v>184</v>
      </c>
      <c r="D596" s="1">
        <f t="shared" si="54"/>
        <v>317</v>
      </c>
      <c r="E596" s="1">
        <f t="shared" si="55"/>
        <v>317</v>
      </c>
      <c r="F596" s="1">
        <f t="shared" si="56"/>
        <v>83</v>
      </c>
      <c r="G596" s="1">
        <f t="shared" si="57"/>
        <v>2246.1799999999998</v>
      </c>
    </row>
    <row r="597" spans="1:7" x14ac:dyDescent="0.25">
      <c r="A597" s="1">
        <v>596</v>
      </c>
      <c r="B597">
        <v>0.71785226208453057</v>
      </c>
      <c r="C597" s="1">
        <f t="shared" si="53"/>
        <v>57</v>
      </c>
      <c r="D597" s="1">
        <f t="shared" si="54"/>
        <v>444</v>
      </c>
      <c r="E597" s="1">
        <f t="shared" si="55"/>
        <v>400</v>
      </c>
      <c r="F597" s="1">
        <f t="shared" si="56"/>
        <v>0</v>
      </c>
      <c r="G597" s="1">
        <f t="shared" si="57"/>
        <v>2872</v>
      </c>
    </row>
    <row r="598" spans="1:7" x14ac:dyDescent="0.25">
      <c r="A598" s="1">
        <v>597</v>
      </c>
      <c r="B598">
        <v>0.90807546165621866</v>
      </c>
      <c r="C598" s="1">
        <f t="shared" si="53"/>
        <v>19</v>
      </c>
      <c r="D598" s="1">
        <f t="shared" si="54"/>
        <v>482</v>
      </c>
      <c r="E598" s="1">
        <f t="shared" si="55"/>
        <v>400</v>
      </c>
      <c r="F598" s="1">
        <f t="shared" si="56"/>
        <v>0</v>
      </c>
      <c r="G598" s="1">
        <f t="shared" si="57"/>
        <v>2872</v>
      </c>
    </row>
    <row r="599" spans="1:7" x14ac:dyDescent="0.25">
      <c r="A599" s="1">
        <v>598</v>
      </c>
      <c r="B599">
        <v>0.61987882757274393</v>
      </c>
      <c r="C599" s="1">
        <f t="shared" si="53"/>
        <v>77</v>
      </c>
      <c r="D599" s="1">
        <f t="shared" si="54"/>
        <v>424</v>
      </c>
      <c r="E599" s="1">
        <f t="shared" si="55"/>
        <v>400</v>
      </c>
      <c r="F599" s="1">
        <f t="shared" si="56"/>
        <v>0</v>
      </c>
      <c r="G599" s="1">
        <f t="shared" si="57"/>
        <v>2872</v>
      </c>
    </row>
    <row r="600" spans="1:7" x14ac:dyDescent="0.25">
      <c r="A600" s="1">
        <v>599</v>
      </c>
      <c r="B600">
        <v>0.23728507254707798</v>
      </c>
      <c r="C600" s="1">
        <f t="shared" si="53"/>
        <v>154</v>
      </c>
      <c r="D600" s="1">
        <f t="shared" si="54"/>
        <v>347</v>
      </c>
      <c r="E600" s="1">
        <f t="shared" si="55"/>
        <v>347</v>
      </c>
      <c r="F600" s="1">
        <f t="shared" si="56"/>
        <v>53</v>
      </c>
      <c r="G600" s="1">
        <f t="shared" si="57"/>
        <v>2472.38</v>
      </c>
    </row>
    <row r="601" spans="1:7" x14ac:dyDescent="0.25">
      <c r="A601" s="1">
        <v>600</v>
      </c>
      <c r="B601">
        <v>0.45910075626384317</v>
      </c>
      <c r="C601" s="1">
        <f t="shared" si="53"/>
        <v>109</v>
      </c>
      <c r="D601" s="1">
        <f t="shared" si="54"/>
        <v>392</v>
      </c>
      <c r="E601" s="1">
        <f t="shared" si="55"/>
        <v>392</v>
      </c>
      <c r="F601" s="1">
        <f t="shared" si="56"/>
        <v>8</v>
      </c>
      <c r="G601" s="1">
        <f t="shared" si="57"/>
        <v>2811.68</v>
      </c>
    </row>
    <row r="602" spans="1:7" x14ac:dyDescent="0.25">
      <c r="A602" s="1">
        <v>601</v>
      </c>
      <c r="B602">
        <v>0.59143003094901792</v>
      </c>
      <c r="C602" s="1">
        <f t="shared" si="53"/>
        <v>83</v>
      </c>
      <c r="D602" s="1">
        <f t="shared" si="54"/>
        <v>418</v>
      </c>
      <c r="E602" s="1">
        <f t="shared" si="55"/>
        <v>400</v>
      </c>
      <c r="F602" s="1">
        <f t="shared" si="56"/>
        <v>0</v>
      </c>
      <c r="G602" s="1">
        <f t="shared" si="57"/>
        <v>2872</v>
      </c>
    </row>
    <row r="603" spans="1:7" x14ac:dyDescent="0.25">
      <c r="A603" s="1">
        <v>602</v>
      </c>
      <c r="B603">
        <v>4.4591225777187771E-2</v>
      </c>
      <c r="C603" s="1">
        <f t="shared" si="53"/>
        <v>193</v>
      </c>
      <c r="D603" s="1">
        <f t="shared" si="54"/>
        <v>308</v>
      </c>
      <c r="E603" s="1">
        <f t="shared" si="55"/>
        <v>308</v>
      </c>
      <c r="F603" s="1">
        <f t="shared" si="56"/>
        <v>92</v>
      </c>
      <c r="G603" s="1">
        <f t="shared" si="57"/>
        <v>2178.3200000000002</v>
      </c>
    </row>
    <row r="604" spans="1:7" x14ac:dyDescent="0.25">
      <c r="A604" s="1">
        <v>603</v>
      </c>
      <c r="B604">
        <v>0.89280145238318065</v>
      </c>
      <c r="C604" s="1">
        <f t="shared" si="53"/>
        <v>22</v>
      </c>
      <c r="D604" s="1">
        <f t="shared" si="54"/>
        <v>479</v>
      </c>
      <c r="E604" s="1">
        <f t="shared" si="55"/>
        <v>400</v>
      </c>
      <c r="F604" s="1">
        <f t="shared" si="56"/>
        <v>0</v>
      </c>
      <c r="G604" s="1">
        <f t="shared" si="57"/>
        <v>2872</v>
      </c>
    </row>
    <row r="605" spans="1:7" x14ac:dyDescent="0.25">
      <c r="A605" s="1">
        <v>604</v>
      </c>
      <c r="B605">
        <v>0.52587319965422852</v>
      </c>
      <c r="C605" s="1">
        <f t="shared" si="53"/>
        <v>96</v>
      </c>
      <c r="D605" s="1">
        <f t="shared" si="54"/>
        <v>405</v>
      </c>
      <c r="E605" s="1">
        <f t="shared" si="55"/>
        <v>400</v>
      </c>
      <c r="F605" s="1">
        <f t="shared" si="56"/>
        <v>0</v>
      </c>
      <c r="G605" s="1">
        <f t="shared" si="57"/>
        <v>2872</v>
      </c>
    </row>
    <row r="606" spans="1:7" x14ac:dyDescent="0.25">
      <c r="A606" s="1">
        <v>605</v>
      </c>
      <c r="B606">
        <v>0.80838521748997705</v>
      </c>
      <c r="C606" s="1">
        <f t="shared" si="53"/>
        <v>39</v>
      </c>
      <c r="D606" s="1">
        <f t="shared" si="54"/>
        <v>462</v>
      </c>
      <c r="E606" s="1">
        <f t="shared" si="55"/>
        <v>400</v>
      </c>
      <c r="F606" s="1">
        <f t="shared" si="56"/>
        <v>0</v>
      </c>
      <c r="G606" s="1">
        <f t="shared" si="57"/>
        <v>2872</v>
      </c>
    </row>
    <row r="607" spans="1:7" x14ac:dyDescent="0.25">
      <c r="A607" s="1">
        <v>606</v>
      </c>
      <c r="B607">
        <v>0.50155502413147635</v>
      </c>
      <c r="C607" s="1">
        <f t="shared" si="53"/>
        <v>101</v>
      </c>
      <c r="D607" s="1">
        <f t="shared" si="54"/>
        <v>400</v>
      </c>
      <c r="E607" s="1">
        <f t="shared" si="55"/>
        <v>400</v>
      </c>
      <c r="F607" s="1">
        <f t="shared" si="56"/>
        <v>0</v>
      </c>
      <c r="G607" s="1">
        <f t="shared" si="57"/>
        <v>2872</v>
      </c>
    </row>
    <row r="608" spans="1:7" x14ac:dyDescent="0.25">
      <c r="A608" s="1">
        <v>607</v>
      </c>
      <c r="B608">
        <v>0.61943902336163781</v>
      </c>
      <c r="C608" s="1">
        <f t="shared" si="53"/>
        <v>77</v>
      </c>
      <c r="D608" s="1">
        <f t="shared" si="54"/>
        <v>424</v>
      </c>
      <c r="E608" s="1">
        <f t="shared" si="55"/>
        <v>400</v>
      </c>
      <c r="F608" s="1">
        <f t="shared" si="56"/>
        <v>0</v>
      </c>
      <c r="G608" s="1">
        <f t="shared" si="57"/>
        <v>2872</v>
      </c>
    </row>
    <row r="609" spans="1:7" x14ac:dyDescent="0.25">
      <c r="A609" s="1">
        <v>608</v>
      </c>
      <c r="B609">
        <v>0.41704844828921039</v>
      </c>
      <c r="C609" s="1">
        <f t="shared" si="53"/>
        <v>118</v>
      </c>
      <c r="D609" s="1">
        <f t="shared" si="54"/>
        <v>383</v>
      </c>
      <c r="E609" s="1">
        <f t="shared" si="55"/>
        <v>383</v>
      </c>
      <c r="F609" s="1">
        <f t="shared" si="56"/>
        <v>17</v>
      </c>
      <c r="G609" s="1">
        <f t="shared" si="57"/>
        <v>2743.82</v>
      </c>
    </row>
    <row r="610" spans="1:7" x14ac:dyDescent="0.25">
      <c r="A610" s="1">
        <v>609</v>
      </c>
      <c r="B610">
        <v>0.51309148678848904</v>
      </c>
      <c r="C610" s="1">
        <f t="shared" si="53"/>
        <v>98</v>
      </c>
      <c r="D610" s="1">
        <f t="shared" si="54"/>
        <v>403</v>
      </c>
      <c r="E610" s="1">
        <f t="shared" si="55"/>
        <v>400</v>
      </c>
      <c r="F610" s="1">
        <f t="shared" si="56"/>
        <v>0</v>
      </c>
      <c r="G610" s="1">
        <f t="shared" si="57"/>
        <v>2872</v>
      </c>
    </row>
    <row r="611" spans="1:7" x14ac:dyDescent="0.25">
      <c r="A611" s="1">
        <v>610</v>
      </c>
      <c r="B611">
        <v>0.69400676813247475</v>
      </c>
      <c r="C611" s="1">
        <f t="shared" si="53"/>
        <v>62</v>
      </c>
      <c r="D611" s="1">
        <f t="shared" si="54"/>
        <v>439</v>
      </c>
      <c r="E611" s="1">
        <f t="shared" si="55"/>
        <v>400</v>
      </c>
      <c r="F611" s="1">
        <f t="shared" si="56"/>
        <v>0</v>
      </c>
      <c r="G611" s="1">
        <f t="shared" si="57"/>
        <v>2872</v>
      </c>
    </row>
    <row r="612" spans="1:7" x14ac:dyDescent="0.25">
      <c r="A612" s="1">
        <v>611</v>
      </c>
      <c r="B612">
        <v>0.55668140074216554</v>
      </c>
      <c r="C612" s="1">
        <f t="shared" si="53"/>
        <v>90</v>
      </c>
      <c r="D612" s="1">
        <f t="shared" si="54"/>
        <v>411</v>
      </c>
      <c r="E612" s="1">
        <f t="shared" si="55"/>
        <v>400</v>
      </c>
      <c r="F612" s="1">
        <f t="shared" si="56"/>
        <v>0</v>
      </c>
      <c r="G612" s="1">
        <f t="shared" si="57"/>
        <v>2872</v>
      </c>
    </row>
    <row r="613" spans="1:7" x14ac:dyDescent="0.25">
      <c r="A613" s="1">
        <v>612</v>
      </c>
      <c r="B613">
        <v>0.88020715671859306</v>
      </c>
      <c r="C613" s="1">
        <f t="shared" si="53"/>
        <v>25</v>
      </c>
      <c r="D613" s="1">
        <f t="shared" si="54"/>
        <v>476</v>
      </c>
      <c r="E613" s="1">
        <f t="shared" si="55"/>
        <v>400</v>
      </c>
      <c r="F613" s="1">
        <f t="shared" si="56"/>
        <v>0</v>
      </c>
      <c r="G613" s="1">
        <f t="shared" si="57"/>
        <v>2872</v>
      </c>
    </row>
    <row r="614" spans="1:7" x14ac:dyDescent="0.25">
      <c r="A614" s="1">
        <v>613</v>
      </c>
      <c r="B614">
        <v>0.64499578266075763</v>
      </c>
      <c r="C614" s="1">
        <f t="shared" si="53"/>
        <v>72</v>
      </c>
      <c r="D614" s="1">
        <f t="shared" si="54"/>
        <v>429</v>
      </c>
      <c r="E614" s="1">
        <f t="shared" si="55"/>
        <v>400</v>
      </c>
      <c r="F614" s="1">
        <f t="shared" si="56"/>
        <v>0</v>
      </c>
      <c r="G614" s="1">
        <f t="shared" si="57"/>
        <v>2872</v>
      </c>
    </row>
    <row r="615" spans="1:7" x14ac:dyDescent="0.25">
      <c r="A615" s="1">
        <v>614</v>
      </c>
      <c r="B615">
        <v>0.94940614879503427</v>
      </c>
      <c r="C615" s="1">
        <f t="shared" si="53"/>
        <v>11</v>
      </c>
      <c r="D615" s="1">
        <f t="shared" si="54"/>
        <v>490</v>
      </c>
      <c r="E615" s="1">
        <f t="shared" si="55"/>
        <v>400</v>
      </c>
      <c r="F615" s="1">
        <f t="shared" si="56"/>
        <v>0</v>
      </c>
      <c r="G615" s="1">
        <f t="shared" si="57"/>
        <v>2872</v>
      </c>
    </row>
    <row r="616" spans="1:7" x14ac:dyDescent="0.25">
      <c r="A616" s="1">
        <v>615</v>
      </c>
      <c r="B616">
        <v>0.47503299069755067</v>
      </c>
      <c r="C616" s="1">
        <f t="shared" si="53"/>
        <v>106</v>
      </c>
      <c r="D616" s="1">
        <f t="shared" si="54"/>
        <v>395</v>
      </c>
      <c r="E616" s="1">
        <f t="shared" si="55"/>
        <v>395</v>
      </c>
      <c r="F616" s="1">
        <f t="shared" si="56"/>
        <v>5</v>
      </c>
      <c r="G616" s="1">
        <f t="shared" si="57"/>
        <v>2834.3</v>
      </c>
    </row>
    <row r="617" spans="1:7" x14ac:dyDescent="0.25">
      <c r="A617" s="1">
        <v>616</v>
      </c>
      <c r="B617">
        <v>0.1168345641290065</v>
      </c>
      <c r="C617" s="1">
        <f t="shared" si="53"/>
        <v>178</v>
      </c>
      <c r="D617" s="1">
        <f t="shared" si="54"/>
        <v>323</v>
      </c>
      <c r="E617" s="1">
        <f t="shared" si="55"/>
        <v>323</v>
      </c>
      <c r="F617" s="1">
        <f t="shared" si="56"/>
        <v>77</v>
      </c>
      <c r="G617" s="1">
        <f t="shared" si="57"/>
        <v>2291.42</v>
      </c>
    </row>
    <row r="618" spans="1:7" x14ac:dyDescent="0.25">
      <c r="A618" s="1">
        <v>617</v>
      </c>
      <c r="B618">
        <v>0.35734320200613867</v>
      </c>
      <c r="C618" s="1">
        <f t="shared" si="53"/>
        <v>130</v>
      </c>
      <c r="D618" s="1">
        <f t="shared" si="54"/>
        <v>371</v>
      </c>
      <c r="E618" s="1">
        <f t="shared" si="55"/>
        <v>371</v>
      </c>
      <c r="F618" s="1">
        <f t="shared" si="56"/>
        <v>29</v>
      </c>
      <c r="G618" s="1">
        <f t="shared" si="57"/>
        <v>2653.34</v>
      </c>
    </row>
    <row r="619" spans="1:7" x14ac:dyDescent="0.25">
      <c r="A619" s="1">
        <v>618</v>
      </c>
      <c r="B619">
        <v>2.8218911835068972E-2</v>
      </c>
      <c r="C619" s="1">
        <f t="shared" si="53"/>
        <v>196</v>
      </c>
      <c r="D619" s="1">
        <f t="shared" si="54"/>
        <v>305</v>
      </c>
      <c r="E619" s="1">
        <f t="shared" si="55"/>
        <v>305</v>
      </c>
      <c r="F619" s="1">
        <f t="shared" si="56"/>
        <v>95</v>
      </c>
      <c r="G619" s="1">
        <f t="shared" si="57"/>
        <v>2155.6999999999998</v>
      </c>
    </row>
    <row r="620" spans="1:7" x14ac:dyDescent="0.25">
      <c r="A620" s="1">
        <v>619</v>
      </c>
      <c r="B620">
        <v>9.4562120265324623E-2</v>
      </c>
      <c r="C620" s="1">
        <f t="shared" si="53"/>
        <v>182</v>
      </c>
      <c r="D620" s="1">
        <f t="shared" si="54"/>
        <v>319</v>
      </c>
      <c r="E620" s="1">
        <f t="shared" si="55"/>
        <v>319</v>
      </c>
      <c r="F620" s="1">
        <f t="shared" si="56"/>
        <v>81</v>
      </c>
      <c r="G620" s="1">
        <f t="shared" si="57"/>
        <v>2261.2600000000002</v>
      </c>
    </row>
    <row r="621" spans="1:7" x14ac:dyDescent="0.25">
      <c r="A621" s="1">
        <v>620</v>
      </c>
      <c r="B621">
        <v>0.17389225856495338</v>
      </c>
      <c r="C621" s="1">
        <f t="shared" si="53"/>
        <v>167</v>
      </c>
      <c r="D621" s="1">
        <f t="shared" si="54"/>
        <v>334</v>
      </c>
      <c r="E621" s="1">
        <f t="shared" si="55"/>
        <v>334</v>
      </c>
      <c r="F621" s="1">
        <f t="shared" si="56"/>
        <v>66</v>
      </c>
      <c r="G621" s="1">
        <f t="shared" si="57"/>
        <v>2374.36</v>
      </c>
    </row>
    <row r="622" spans="1:7" x14ac:dyDescent="0.25">
      <c r="A622" s="1">
        <v>621</v>
      </c>
      <c r="B622">
        <v>0.65034159211549669</v>
      </c>
      <c r="C622" s="1">
        <f t="shared" si="53"/>
        <v>71</v>
      </c>
      <c r="D622" s="1">
        <f t="shared" si="54"/>
        <v>430</v>
      </c>
      <c r="E622" s="1">
        <f t="shared" si="55"/>
        <v>400</v>
      </c>
      <c r="F622" s="1">
        <f t="shared" si="56"/>
        <v>0</v>
      </c>
      <c r="G622" s="1">
        <f t="shared" si="57"/>
        <v>2872</v>
      </c>
    </row>
    <row r="623" spans="1:7" x14ac:dyDescent="0.25">
      <c r="A623" s="1">
        <v>622</v>
      </c>
      <c r="B623">
        <v>0.92889424286847777</v>
      </c>
      <c r="C623" s="1">
        <f t="shared" si="53"/>
        <v>15</v>
      </c>
      <c r="D623" s="1">
        <f t="shared" si="54"/>
        <v>486</v>
      </c>
      <c r="E623" s="1">
        <f t="shared" si="55"/>
        <v>400</v>
      </c>
      <c r="F623" s="1">
        <f t="shared" si="56"/>
        <v>0</v>
      </c>
      <c r="G623" s="1">
        <f t="shared" si="57"/>
        <v>2872</v>
      </c>
    </row>
    <row r="624" spans="1:7" x14ac:dyDescent="0.25">
      <c r="A624" s="1">
        <v>623</v>
      </c>
      <c r="B624">
        <v>0.48287659755044576</v>
      </c>
      <c r="C624" s="1">
        <f t="shared" si="53"/>
        <v>104</v>
      </c>
      <c r="D624" s="1">
        <f t="shared" si="54"/>
        <v>397</v>
      </c>
      <c r="E624" s="1">
        <f t="shared" si="55"/>
        <v>397</v>
      </c>
      <c r="F624" s="1">
        <f t="shared" si="56"/>
        <v>3</v>
      </c>
      <c r="G624" s="1">
        <f t="shared" si="57"/>
        <v>2849.38</v>
      </c>
    </row>
    <row r="625" spans="1:7" x14ac:dyDescent="0.25">
      <c r="A625" s="1">
        <v>624</v>
      </c>
      <c r="B625">
        <v>0.27894446679484641</v>
      </c>
      <c r="C625" s="1">
        <f t="shared" si="53"/>
        <v>145</v>
      </c>
      <c r="D625" s="1">
        <f t="shared" si="54"/>
        <v>356</v>
      </c>
      <c r="E625" s="1">
        <f t="shared" si="55"/>
        <v>356</v>
      </c>
      <c r="F625" s="1">
        <f t="shared" si="56"/>
        <v>44</v>
      </c>
      <c r="G625" s="1">
        <f t="shared" si="57"/>
        <v>2540.2399999999998</v>
      </c>
    </row>
    <row r="626" spans="1:7" x14ac:dyDescent="0.25">
      <c r="A626" s="1">
        <v>625</v>
      </c>
      <c r="B626">
        <v>0.72753471483488152</v>
      </c>
      <c r="C626" s="1">
        <f t="shared" si="53"/>
        <v>55</v>
      </c>
      <c r="D626" s="1">
        <f t="shared" si="54"/>
        <v>446</v>
      </c>
      <c r="E626" s="1">
        <f t="shared" si="55"/>
        <v>400</v>
      </c>
      <c r="F626" s="1">
        <f t="shared" si="56"/>
        <v>0</v>
      </c>
      <c r="G626" s="1">
        <f t="shared" si="57"/>
        <v>2872</v>
      </c>
    </row>
    <row r="627" spans="1:7" x14ac:dyDescent="0.25">
      <c r="A627" s="1">
        <v>626</v>
      </c>
      <c r="B627">
        <v>6.0864620414401771E-2</v>
      </c>
      <c r="C627" s="1">
        <f t="shared" si="53"/>
        <v>189</v>
      </c>
      <c r="D627" s="1">
        <f t="shared" si="54"/>
        <v>312</v>
      </c>
      <c r="E627" s="1">
        <f t="shared" si="55"/>
        <v>312</v>
      </c>
      <c r="F627" s="1">
        <f t="shared" si="56"/>
        <v>88</v>
      </c>
      <c r="G627" s="1">
        <f t="shared" si="57"/>
        <v>2208.48</v>
      </c>
    </row>
    <row r="628" spans="1:7" x14ac:dyDescent="0.25">
      <c r="A628" s="1">
        <v>627</v>
      </c>
      <c r="B628">
        <v>0.68486065591537237</v>
      </c>
      <c r="C628" s="1">
        <f t="shared" si="53"/>
        <v>64</v>
      </c>
      <c r="D628" s="1">
        <f t="shared" si="54"/>
        <v>437</v>
      </c>
      <c r="E628" s="1">
        <f t="shared" si="55"/>
        <v>400</v>
      </c>
      <c r="F628" s="1">
        <f t="shared" si="56"/>
        <v>0</v>
      </c>
      <c r="G628" s="1">
        <f t="shared" si="57"/>
        <v>2872</v>
      </c>
    </row>
    <row r="629" spans="1:7" x14ac:dyDescent="0.25">
      <c r="A629" s="1">
        <v>628</v>
      </c>
      <c r="B629">
        <v>4.737015765570729E-2</v>
      </c>
      <c r="C629" s="1">
        <f t="shared" si="53"/>
        <v>192</v>
      </c>
      <c r="D629" s="1">
        <f t="shared" si="54"/>
        <v>309</v>
      </c>
      <c r="E629" s="1">
        <f t="shared" si="55"/>
        <v>309</v>
      </c>
      <c r="F629" s="1">
        <f t="shared" si="56"/>
        <v>91</v>
      </c>
      <c r="G629" s="1">
        <f t="shared" si="57"/>
        <v>2185.86</v>
      </c>
    </row>
    <row r="630" spans="1:7" x14ac:dyDescent="0.25">
      <c r="A630" s="1">
        <v>629</v>
      </c>
      <c r="B630">
        <v>0.52657623910816109</v>
      </c>
      <c r="C630" s="1">
        <f t="shared" si="53"/>
        <v>96</v>
      </c>
      <c r="D630" s="1">
        <f t="shared" si="54"/>
        <v>405</v>
      </c>
      <c r="E630" s="1">
        <f t="shared" si="55"/>
        <v>400</v>
      </c>
      <c r="F630" s="1">
        <f t="shared" si="56"/>
        <v>0</v>
      </c>
      <c r="G630" s="1">
        <f t="shared" si="57"/>
        <v>2872</v>
      </c>
    </row>
    <row r="631" spans="1:7" x14ac:dyDescent="0.25">
      <c r="A631" s="1">
        <v>630</v>
      </c>
      <c r="B631">
        <v>0.48248299536920669</v>
      </c>
      <c r="C631" s="1">
        <f t="shared" si="53"/>
        <v>105</v>
      </c>
      <c r="D631" s="1">
        <f t="shared" si="54"/>
        <v>396</v>
      </c>
      <c r="E631" s="1">
        <f t="shared" si="55"/>
        <v>396</v>
      </c>
      <c r="F631" s="1">
        <f t="shared" si="56"/>
        <v>4</v>
      </c>
      <c r="G631" s="1">
        <f t="shared" si="57"/>
        <v>2841.84</v>
      </c>
    </row>
    <row r="632" spans="1:7" x14ac:dyDescent="0.25">
      <c r="A632" s="1">
        <v>631</v>
      </c>
      <c r="B632">
        <v>0.20467476814158769</v>
      </c>
      <c r="C632" s="1">
        <f t="shared" si="53"/>
        <v>160</v>
      </c>
      <c r="D632" s="1">
        <f t="shared" si="54"/>
        <v>341</v>
      </c>
      <c r="E632" s="1">
        <f t="shared" si="55"/>
        <v>341</v>
      </c>
      <c r="F632" s="1">
        <f t="shared" si="56"/>
        <v>59</v>
      </c>
      <c r="G632" s="1">
        <f t="shared" si="57"/>
        <v>2427.14</v>
      </c>
    </row>
    <row r="633" spans="1:7" x14ac:dyDescent="0.25">
      <c r="A633" s="1">
        <v>632</v>
      </c>
      <c r="B633">
        <v>0.82922744569980533</v>
      </c>
      <c r="C633" s="1">
        <f t="shared" si="53"/>
        <v>35</v>
      </c>
      <c r="D633" s="1">
        <f t="shared" si="54"/>
        <v>466</v>
      </c>
      <c r="E633" s="1">
        <f t="shared" si="55"/>
        <v>400</v>
      </c>
      <c r="F633" s="1">
        <f t="shared" si="56"/>
        <v>0</v>
      </c>
      <c r="G633" s="1">
        <f t="shared" si="57"/>
        <v>2872</v>
      </c>
    </row>
    <row r="634" spans="1:7" x14ac:dyDescent="0.25">
      <c r="A634" s="1">
        <v>633</v>
      </c>
      <c r="B634">
        <v>0.94563217422081991</v>
      </c>
      <c r="C634" s="1">
        <f t="shared" si="53"/>
        <v>11</v>
      </c>
      <c r="D634" s="1">
        <f t="shared" si="54"/>
        <v>490</v>
      </c>
      <c r="E634" s="1">
        <f t="shared" si="55"/>
        <v>400</v>
      </c>
      <c r="F634" s="1">
        <f t="shared" si="56"/>
        <v>0</v>
      </c>
      <c r="G634" s="1">
        <f t="shared" si="57"/>
        <v>2872</v>
      </c>
    </row>
    <row r="635" spans="1:7" x14ac:dyDescent="0.25">
      <c r="A635" s="1">
        <v>634</v>
      </c>
      <c r="B635">
        <v>0.90358713918908062</v>
      </c>
      <c r="C635" s="1">
        <f t="shared" si="53"/>
        <v>20</v>
      </c>
      <c r="D635" s="1">
        <f t="shared" si="54"/>
        <v>481</v>
      </c>
      <c r="E635" s="1">
        <f t="shared" si="55"/>
        <v>400</v>
      </c>
      <c r="F635" s="1">
        <f t="shared" si="56"/>
        <v>0</v>
      </c>
      <c r="G635" s="1">
        <f t="shared" si="57"/>
        <v>2872</v>
      </c>
    </row>
    <row r="636" spans="1:7" x14ac:dyDescent="0.25">
      <c r="A636" s="1">
        <v>635</v>
      </c>
      <c r="B636">
        <v>0.10679285061647825</v>
      </c>
      <c r="C636" s="1">
        <f t="shared" si="53"/>
        <v>180</v>
      </c>
      <c r="D636" s="1">
        <f t="shared" si="54"/>
        <v>321</v>
      </c>
      <c r="E636" s="1">
        <f t="shared" si="55"/>
        <v>321</v>
      </c>
      <c r="F636" s="1">
        <f t="shared" si="56"/>
        <v>79</v>
      </c>
      <c r="G636" s="1">
        <f t="shared" si="57"/>
        <v>2276.34</v>
      </c>
    </row>
    <row r="637" spans="1:7" x14ac:dyDescent="0.25">
      <c r="A637" s="1">
        <v>636</v>
      </c>
      <c r="B637">
        <v>0.17515242288556754</v>
      </c>
      <c r="C637" s="1">
        <f t="shared" si="53"/>
        <v>166</v>
      </c>
      <c r="D637" s="1">
        <f t="shared" si="54"/>
        <v>335</v>
      </c>
      <c r="E637" s="1">
        <f t="shared" si="55"/>
        <v>335</v>
      </c>
      <c r="F637" s="1">
        <f t="shared" si="56"/>
        <v>65</v>
      </c>
      <c r="G637" s="1">
        <f t="shared" si="57"/>
        <v>2381.9</v>
      </c>
    </row>
    <row r="638" spans="1:7" x14ac:dyDescent="0.25">
      <c r="A638" s="1">
        <v>637</v>
      </c>
      <c r="B638">
        <v>0.21555297179797428</v>
      </c>
      <c r="C638" s="1">
        <f t="shared" si="53"/>
        <v>158</v>
      </c>
      <c r="D638" s="1">
        <f t="shared" si="54"/>
        <v>343</v>
      </c>
      <c r="E638" s="1">
        <f t="shared" si="55"/>
        <v>343</v>
      </c>
      <c r="F638" s="1">
        <f t="shared" si="56"/>
        <v>57</v>
      </c>
      <c r="G638" s="1">
        <f t="shared" si="57"/>
        <v>2442.2199999999998</v>
      </c>
    </row>
    <row r="639" spans="1:7" x14ac:dyDescent="0.25">
      <c r="A639" s="1">
        <v>638</v>
      </c>
      <c r="B639">
        <v>0.48967107776966889</v>
      </c>
      <c r="C639" s="1">
        <f t="shared" si="53"/>
        <v>103</v>
      </c>
      <c r="D639" s="1">
        <f t="shared" si="54"/>
        <v>398</v>
      </c>
      <c r="E639" s="1">
        <f t="shared" si="55"/>
        <v>398</v>
      </c>
      <c r="F639" s="1">
        <f t="shared" si="56"/>
        <v>2</v>
      </c>
      <c r="G639" s="1">
        <f t="shared" si="57"/>
        <v>2856.92</v>
      </c>
    </row>
    <row r="640" spans="1:7" x14ac:dyDescent="0.25">
      <c r="A640" s="1">
        <v>639</v>
      </c>
      <c r="B640">
        <v>0.83294392230273795</v>
      </c>
      <c r="C640" s="1">
        <f t="shared" si="53"/>
        <v>34</v>
      </c>
      <c r="D640" s="1">
        <f t="shared" si="54"/>
        <v>467</v>
      </c>
      <c r="E640" s="1">
        <f t="shared" si="55"/>
        <v>400</v>
      </c>
      <c r="F640" s="1">
        <f t="shared" si="56"/>
        <v>0</v>
      </c>
      <c r="G640" s="1">
        <f t="shared" si="57"/>
        <v>2872</v>
      </c>
    </row>
    <row r="641" spans="1:7" x14ac:dyDescent="0.25">
      <c r="A641" s="1">
        <v>640</v>
      </c>
      <c r="B641">
        <v>0.69179571187623889</v>
      </c>
      <c r="C641" s="1">
        <f t="shared" si="53"/>
        <v>62</v>
      </c>
      <c r="D641" s="1">
        <f t="shared" si="54"/>
        <v>439</v>
      </c>
      <c r="E641" s="1">
        <f t="shared" si="55"/>
        <v>400</v>
      </c>
      <c r="F641" s="1">
        <f t="shared" si="56"/>
        <v>0</v>
      </c>
      <c r="G641" s="1">
        <f t="shared" si="57"/>
        <v>2872</v>
      </c>
    </row>
    <row r="642" spans="1:7" x14ac:dyDescent="0.25">
      <c r="A642" s="1">
        <v>641</v>
      </c>
      <c r="B642">
        <v>0.70209730723907171</v>
      </c>
      <c r="C642" s="1">
        <f t="shared" ref="C642:C705" si="58">MATCH(B642,$N$2:$N$202,-1)</f>
        <v>60</v>
      </c>
      <c r="D642" s="1">
        <f t="shared" ref="D642:D705" si="59">INDEX($L$2:$L$202,C642)</f>
        <v>441</v>
      </c>
      <c r="E642" s="1">
        <f t="shared" si="55"/>
        <v>400</v>
      </c>
      <c r="F642" s="1">
        <f t="shared" si="56"/>
        <v>0</v>
      </c>
      <c r="G642" s="1">
        <f t="shared" si="57"/>
        <v>2872</v>
      </c>
    </row>
    <row r="643" spans="1:7" x14ac:dyDescent="0.25">
      <c r="A643" s="1">
        <v>642</v>
      </c>
      <c r="B643">
        <v>0.14813416210311858</v>
      </c>
      <c r="C643" s="1">
        <f t="shared" si="58"/>
        <v>172</v>
      </c>
      <c r="D643" s="1">
        <f t="shared" si="59"/>
        <v>329</v>
      </c>
      <c r="E643" s="1">
        <f t="shared" ref="E643:E706" si="60">MIN(D643,$I$2)</f>
        <v>329</v>
      </c>
      <c r="F643" s="1">
        <f t="shared" ref="F643:F706" si="61">$I$2-E643</f>
        <v>71</v>
      </c>
      <c r="G643" s="1">
        <f t="shared" ref="G643:G706" si="62">7.5*E643-$I$2/25*8-F643/25*1</f>
        <v>2336.66</v>
      </c>
    </row>
    <row r="644" spans="1:7" x14ac:dyDescent="0.25">
      <c r="A644" s="1">
        <v>643</v>
      </c>
      <c r="B644">
        <v>0.98520570168684363</v>
      </c>
      <c r="C644" s="1">
        <f t="shared" si="58"/>
        <v>3</v>
      </c>
      <c r="D644" s="1">
        <f t="shared" si="59"/>
        <v>498</v>
      </c>
      <c r="E644" s="1">
        <f t="shared" si="60"/>
        <v>400</v>
      </c>
      <c r="F644" s="1">
        <f t="shared" si="61"/>
        <v>0</v>
      </c>
      <c r="G644" s="1">
        <f t="shared" si="62"/>
        <v>2872</v>
      </c>
    </row>
    <row r="645" spans="1:7" x14ac:dyDescent="0.25">
      <c r="A645" s="1">
        <v>644</v>
      </c>
      <c r="B645">
        <v>0.89752245053353519</v>
      </c>
      <c r="C645" s="1">
        <f t="shared" si="58"/>
        <v>21</v>
      </c>
      <c r="D645" s="1">
        <f t="shared" si="59"/>
        <v>480</v>
      </c>
      <c r="E645" s="1">
        <f t="shared" si="60"/>
        <v>400</v>
      </c>
      <c r="F645" s="1">
        <f t="shared" si="61"/>
        <v>0</v>
      </c>
      <c r="G645" s="1">
        <f t="shared" si="62"/>
        <v>2872</v>
      </c>
    </row>
    <row r="646" spans="1:7" x14ac:dyDescent="0.25">
      <c r="A646" s="1">
        <v>645</v>
      </c>
      <c r="B646">
        <v>1.2653469677109674E-2</v>
      </c>
      <c r="C646" s="1">
        <f t="shared" si="58"/>
        <v>199</v>
      </c>
      <c r="D646" s="1">
        <f t="shared" si="59"/>
        <v>302</v>
      </c>
      <c r="E646" s="1">
        <f t="shared" si="60"/>
        <v>302</v>
      </c>
      <c r="F646" s="1">
        <f t="shared" si="61"/>
        <v>98</v>
      </c>
      <c r="G646" s="1">
        <f t="shared" si="62"/>
        <v>2133.08</v>
      </c>
    </row>
    <row r="647" spans="1:7" x14ac:dyDescent="0.25">
      <c r="A647" s="1">
        <v>646</v>
      </c>
      <c r="B647">
        <v>0.11543014635663729</v>
      </c>
      <c r="C647" s="1">
        <f t="shared" si="58"/>
        <v>178</v>
      </c>
      <c r="D647" s="1">
        <f t="shared" si="59"/>
        <v>323</v>
      </c>
      <c r="E647" s="1">
        <f t="shared" si="60"/>
        <v>323</v>
      </c>
      <c r="F647" s="1">
        <f t="shared" si="61"/>
        <v>77</v>
      </c>
      <c r="G647" s="1">
        <f t="shared" si="62"/>
        <v>2291.42</v>
      </c>
    </row>
    <row r="648" spans="1:7" x14ac:dyDescent="0.25">
      <c r="A648" s="1">
        <v>647</v>
      </c>
      <c r="B648">
        <v>0.29626272669643205</v>
      </c>
      <c r="C648" s="1">
        <f t="shared" si="58"/>
        <v>142</v>
      </c>
      <c r="D648" s="1">
        <f t="shared" si="59"/>
        <v>359</v>
      </c>
      <c r="E648" s="1">
        <f t="shared" si="60"/>
        <v>359</v>
      </c>
      <c r="F648" s="1">
        <f t="shared" si="61"/>
        <v>41</v>
      </c>
      <c r="G648" s="1">
        <f t="shared" si="62"/>
        <v>2562.86</v>
      </c>
    </row>
    <row r="649" spans="1:7" x14ac:dyDescent="0.25">
      <c r="A649" s="1">
        <v>648</v>
      </c>
      <c r="B649">
        <v>0.5212102417217398</v>
      </c>
      <c r="C649" s="1">
        <f t="shared" si="58"/>
        <v>97</v>
      </c>
      <c r="D649" s="1">
        <f t="shared" si="59"/>
        <v>404</v>
      </c>
      <c r="E649" s="1">
        <f t="shared" si="60"/>
        <v>400</v>
      </c>
      <c r="F649" s="1">
        <f t="shared" si="61"/>
        <v>0</v>
      </c>
      <c r="G649" s="1">
        <f t="shared" si="62"/>
        <v>2872</v>
      </c>
    </row>
    <row r="650" spans="1:7" x14ac:dyDescent="0.25">
      <c r="A650" s="1">
        <v>649</v>
      </c>
      <c r="B650">
        <v>9.7217944745415674E-2</v>
      </c>
      <c r="C650" s="1">
        <f t="shared" si="58"/>
        <v>182</v>
      </c>
      <c r="D650" s="1">
        <f t="shared" si="59"/>
        <v>319</v>
      </c>
      <c r="E650" s="1">
        <f t="shared" si="60"/>
        <v>319</v>
      </c>
      <c r="F650" s="1">
        <f t="shared" si="61"/>
        <v>81</v>
      </c>
      <c r="G650" s="1">
        <f t="shared" si="62"/>
        <v>2261.2600000000002</v>
      </c>
    </row>
    <row r="651" spans="1:7" x14ac:dyDescent="0.25">
      <c r="A651" s="1">
        <v>650</v>
      </c>
      <c r="B651">
        <v>0.77266273912518924</v>
      </c>
      <c r="C651" s="1">
        <f t="shared" si="58"/>
        <v>46</v>
      </c>
      <c r="D651" s="1">
        <f t="shared" si="59"/>
        <v>455</v>
      </c>
      <c r="E651" s="1">
        <f t="shared" si="60"/>
        <v>400</v>
      </c>
      <c r="F651" s="1">
        <f t="shared" si="61"/>
        <v>0</v>
      </c>
      <c r="G651" s="1">
        <f t="shared" si="62"/>
        <v>2872</v>
      </c>
    </row>
    <row r="652" spans="1:7" x14ac:dyDescent="0.25">
      <c r="A652" s="1">
        <v>651</v>
      </c>
      <c r="B652">
        <v>7.5074776467286553E-3</v>
      </c>
      <c r="C652" s="1">
        <f t="shared" si="58"/>
        <v>200</v>
      </c>
      <c r="D652" s="1">
        <f t="shared" si="59"/>
        <v>301</v>
      </c>
      <c r="E652" s="1">
        <f t="shared" si="60"/>
        <v>301</v>
      </c>
      <c r="F652" s="1">
        <f t="shared" si="61"/>
        <v>99</v>
      </c>
      <c r="G652" s="1">
        <f t="shared" si="62"/>
        <v>2125.54</v>
      </c>
    </row>
    <row r="653" spans="1:7" x14ac:dyDescent="0.25">
      <c r="A653" s="1">
        <v>652</v>
      </c>
      <c r="B653">
        <v>0.92197083568606608</v>
      </c>
      <c r="C653" s="1">
        <f t="shared" si="58"/>
        <v>16</v>
      </c>
      <c r="D653" s="1">
        <f t="shared" si="59"/>
        <v>485</v>
      </c>
      <c r="E653" s="1">
        <f t="shared" si="60"/>
        <v>400</v>
      </c>
      <c r="F653" s="1">
        <f t="shared" si="61"/>
        <v>0</v>
      </c>
      <c r="G653" s="1">
        <f t="shared" si="62"/>
        <v>2872</v>
      </c>
    </row>
    <row r="654" spans="1:7" x14ac:dyDescent="0.25">
      <c r="A654" s="1">
        <v>653</v>
      </c>
      <c r="B654">
        <v>0.38436830493836716</v>
      </c>
      <c r="C654" s="1">
        <f t="shared" si="58"/>
        <v>124</v>
      </c>
      <c r="D654" s="1">
        <f t="shared" si="59"/>
        <v>377</v>
      </c>
      <c r="E654" s="1">
        <f t="shared" si="60"/>
        <v>377</v>
      </c>
      <c r="F654" s="1">
        <f t="shared" si="61"/>
        <v>23</v>
      </c>
      <c r="G654" s="1">
        <f t="shared" si="62"/>
        <v>2698.58</v>
      </c>
    </row>
    <row r="655" spans="1:7" x14ac:dyDescent="0.25">
      <c r="A655" s="1">
        <v>654</v>
      </c>
      <c r="B655">
        <v>0.90856933308649168</v>
      </c>
      <c r="C655" s="1">
        <f t="shared" si="58"/>
        <v>19</v>
      </c>
      <c r="D655" s="1">
        <f t="shared" si="59"/>
        <v>482</v>
      </c>
      <c r="E655" s="1">
        <f t="shared" si="60"/>
        <v>400</v>
      </c>
      <c r="F655" s="1">
        <f t="shared" si="61"/>
        <v>0</v>
      </c>
      <c r="G655" s="1">
        <f t="shared" si="62"/>
        <v>2872</v>
      </c>
    </row>
    <row r="656" spans="1:7" x14ac:dyDescent="0.25">
      <c r="A656" s="1">
        <v>655</v>
      </c>
      <c r="B656">
        <v>0.25896236777815729</v>
      </c>
      <c r="C656" s="1">
        <f t="shared" si="58"/>
        <v>149</v>
      </c>
      <c r="D656" s="1">
        <f t="shared" si="59"/>
        <v>352</v>
      </c>
      <c r="E656" s="1">
        <f t="shared" si="60"/>
        <v>352</v>
      </c>
      <c r="F656" s="1">
        <f t="shared" si="61"/>
        <v>48</v>
      </c>
      <c r="G656" s="1">
        <f t="shared" si="62"/>
        <v>2510.08</v>
      </c>
    </row>
    <row r="657" spans="1:7" x14ac:dyDescent="0.25">
      <c r="A657" s="1">
        <v>656</v>
      </c>
      <c r="B657">
        <v>0.48135374444803802</v>
      </c>
      <c r="C657" s="1">
        <f t="shared" si="58"/>
        <v>105</v>
      </c>
      <c r="D657" s="1">
        <f t="shared" si="59"/>
        <v>396</v>
      </c>
      <c r="E657" s="1">
        <f t="shared" si="60"/>
        <v>396</v>
      </c>
      <c r="F657" s="1">
        <f t="shared" si="61"/>
        <v>4</v>
      </c>
      <c r="G657" s="1">
        <f t="shared" si="62"/>
        <v>2841.84</v>
      </c>
    </row>
    <row r="658" spans="1:7" x14ac:dyDescent="0.25">
      <c r="A658" s="1">
        <v>657</v>
      </c>
      <c r="B658">
        <v>0.13862453169697098</v>
      </c>
      <c r="C658" s="1">
        <f t="shared" si="58"/>
        <v>174</v>
      </c>
      <c r="D658" s="1">
        <f t="shared" si="59"/>
        <v>327</v>
      </c>
      <c r="E658" s="1">
        <f t="shared" si="60"/>
        <v>327</v>
      </c>
      <c r="F658" s="1">
        <f t="shared" si="61"/>
        <v>73</v>
      </c>
      <c r="G658" s="1">
        <f t="shared" si="62"/>
        <v>2321.58</v>
      </c>
    </row>
    <row r="659" spans="1:7" x14ac:dyDescent="0.25">
      <c r="A659" s="1">
        <v>658</v>
      </c>
      <c r="B659">
        <v>0.58788611105803057</v>
      </c>
      <c r="C659" s="1">
        <f t="shared" si="58"/>
        <v>83</v>
      </c>
      <c r="D659" s="1">
        <f t="shared" si="59"/>
        <v>418</v>
      </c>
      <c r="E659" s="1">
        <f t="shared" si="60"/>
        <v>400</v>
      </c>
      <c r="F659" s="1">
        <f t="shared" si="61"/>
        <v>0</v>
      </c>
      <c r="G659" s="1">
        <f t="shared" si="62"/>
        <v>2872</v>
      </c>
    </row>
    <row r="660" spans="1:7" x14ac:dyDescent="0.25">
      <c r="A660" s="1">
        <v>659</v>
      </c>
      <c r="B660">
        <v>0.58158857356001226</v>
      </c>
      <c r="C660" s="1">
        <f t="shared" si="58"/>
        <v>85</v>
      </c>
      <c r="D660" s="1">
        <f t="shared" si="59"/>
        <v>416</v>
      </c>
      <c r="E660" s="1">
        <f t="shared" si="60"/>
        <v>400</v>
      </c>
      <c r="F660" s="1">
        <f t="shared" si="61"/>
        <v>0</v>
      </c>
      <c r="G660" s="1">
        <f t="shared" si="62"/>
        <v>2872</v>
      </c>
    </row>
    <row r="661" spans="1:7" x14ac:dyDescent="0.25">
      <c r="A661" s="1">
        <v>660</v>
      </c>
      <c r="B661">
        <v>0.27439721411038287</v>
      </c>
      <c r="C661" s="1">
        <f t="shared" si="58"/>
        <v>146</v>
      </c>
      <c r="D661" s="1">
        <f t="shared" si="59"/>
        <v>355</v>
      </c>
      <c r="E661" s="1">
        <f t="shared" si="60"/>
        <v>355</v>
      </c>
      <c r="F661" s="1">
        <f t="shared" si="61"/>
        <v>45</v>
      </c>
      <c r="G661" s="1">
        <f t="shared" si="62"/>
        <v>2532.6999999999998</v>
      </c>
    </row>
    <row r="662" spans="1:7" x14ac:dyDescent="0.25">
      <c r="A662" s="1">
        <v>661</v>
      </c>
      <c r="B662">
        <v>0.67887603092549864</v>
      </c>
      <c r="C662" s="1">
        <f t="shared" si="58"/>
        <v>65</v>
      </c>
      <c r="D662" s="1">
        <f t="shared" si="59"/>
        <v>436</v>
      </c>
      <c r="E662" s="1">
        <f t="shared" si="60"/>
        <v>400</v>
      </c>
      <c r="F662" s="1">
        <f t="shared" si="61"/>
        <v>0</v>
      </c>
      <c r="G662" s="1">
        <f t="shared" si="62"/>
        <v>2872</v>
      </c>
    </row>
    <row r="663" spans="1:7" x14ac:dyDescent="0.25">
      <c r="A663" s="1">
        <v>662</v>
      </c>
      <c r="B663">
        <v>0.59733311831544678</v>
      </c>
      <c r="C663" s="1">
        <f t="shared" si="58"/>
        <v>81</v>
      </c>
      <c r="D663" s="1">
        <f t="shared" si="59"/>
        <v>420</v>
      </c>
      <c r="E663" s="1">
        <f t="shared" si="60"/>
        <v>400</v>
      </c>
      <c r="F663" s="1">
        <f t="shared" si="61"/>
        <v>0</v>
      </c>
      <c r="G663" s="1">
        <f t="shared" si="62"/>
        <v>2872</v>
      </c>
    </row>
    <row r="664" spans="1:7" x14ac:dyDescent="0.25">
      <c r="A664" s="1">
        <v>663</v>
      </c>
      <c r="B664">
        <v>0.26008073973771251</v>
      </c>
      <c r="C664" s="1">
        <f t="shared" si="58"/>
        <v>149</v>
      </c>
      <c r="D664" s="1">
        <f t="shared" si="59"/>
        <v>352</v>
      </c>
      <c r="E664" s="1">
        <f t="shared" si="60"/>
        <v>352</v>
      </c>
      <c r="F664" s="1">
        <f t="shared" si="61"/>
        <v>48</v>
      </c>
      <c r="G664" s="1">
        <f t="shared" si="62"/>
        <v>2510.08</v>
      </c>
    </row>
    <row r="665" spans="1:7" x14ac:dyDescent="0.25">
      <c r="A665" s="1">
        <v>664</v>
      </c>
      <c r="B665">
        <v>0.11167711677634951</v>
      </c>
      <c r="C665" s="1">
        <f t="shared" si="58"/>
        <v>179</v>
      </c>
      <c r="D665" s="1">
        <f t="shared" si="59"/>
        <v>322</v>
      </c>
      <c r="E665" s="1">
        <f t="shared" si="60"/>
        <v>322</v>
      </c>
      <c r="F665" s="1">
        <f t="shared" si="61"/>
        <v>78</v>
      </c>
      <c r="G665" s="1">
        <f t="shared" si="62"/>
        <v>2283.88</v>
      </c>
    </row>
    <row r="666" spans="1:7" x14ac:dyDescent="0.25">
      <c r="A666" s="1">
        <v>665</v>
      </c>
      <c r="B666">
        <v>0.44268064405008001</v>
      </c>
      <c r="C666" s="1">
        <f t="shared" si="58"/>
        <v>113</v>
      </c>
      <c r="D666" s="1">
        <f t="shared" si="59"/>
        <v>388</v>
      </c>
      <c r="E666" s="1">
        <f t="shared" si="60"/>
        <v>388</v>
      </c>
      <c r="F666" s="1">
        <f t="shared" si="61"/>
        <v>12</v>
      </c>
      <c r="G666" s="1">
        <f t="shared" si="62"/>
        <v>2781.52</v>
      </c>
    </row>
    <row r="667" spans="1:7" x14ac:dyDescent="0.25">
      <c r="A667" s="1">
        <v>666</v>
      </c>
      <c r="B667">
        <v>0.22918856038279434</v>
      </c>
      <c r="C667" s="1">
        <f t="shared" si="58"/>
        <v>155</v>
      </c>
      <c r="D667" s="1">
        <f t="shared" si="59"/>
        <v>346</v>
      </c>
      <c r="E667" s="1">
        <f t="shared" si="60"/>
        <v>346</v>
      </c>
      <c r="F667" s="1">
        <f t="shared" si="61"/>
        <v>54</v>
      </c>
      <c r="G667" s="1">
        <f t="shared" si="62"/>
        <v>2464.84</v>
      </c>
    </row>
    <row r="668" spans="1:7" x14ac:dyDescent="0.25">
      <c r="A668" s="1">
        <v>667</v>
      </c>
      <c r="B668">
        <v>0.55733891177517414</v>
      </c>
      <c r="C668" s="1">
        <f t="shared" si="58"/>
        <v>89</v>
      </c>
      <c r="D668" s="1">
        <f t="shared" si="59"/>
        <v>412</v>
      </c>
      <c r="E668" s="1">
        <f t="shared" si="60"/>
        <v>400</v>
      </c>
      <c r="F668" s="1">
        <f t="shared" si="61"/>
        <v>0</v>
      </c>
      <c r="G668" s="1">
        <f t="shared" si="62"/>
        <v>2872</v>
      </c>
    </row>
    <row r="669" spans="1:7" x14ac:dyDescent="0.25">
      <c r="A669" s="1">
        <v>668</v>
      </c>
      <c r="B669">
        <v>1.0247282777542277E-2</v>
      </c>
      <c r="C669" s="1">
        <f t="shared" si="58"/>
        <v>199</v>
      </c>
      <c r="D669" s="1">
        <f t="shared" si="59"/>
        <v>302</v>
      </c>
      <c r="E669" s="1">
        <f t="shared" si="60"/>
        <v>302</v>
      </c>
      <c r="F669" s="1">
        <f t="shared" si="61"/>
        <v>98</v>
      </c>
      <c r="G669" s="1">
        <f t="shared" si="62"/>
        <v>2133.08</v>
      </c>
    </row>
    <row r="670" spans="1:7" x14ac:dyDescent="0.25">
      <c r="A670" s="1">
        <v>669</v>
      </c>
      <c r="B670">
        <v>0.28079662389028004</v>
      </c>
      <c r="C670" s="1">
        <f t="shared" si="58"/>
        <v>145</v>
      </c>
      <c r="D670" s="1">
        <f t="shared" si="59"/>
        <v>356</v>
      </c>
      <c r="E670" s="1">
        <f t="shared" si="60"/>
        <v>356</v>
      </c>
      <c r="F670" s="1">
        <f t="shared" si="61"/>
        <v>44</v>
      </c>
      <c r="G670" s="1">
        <f t="shared" si="62"/>
        <v>2540.2399999999998</v>
      </c>
    </row>
    <row r="671" spans="1:7" x14ac:dyDescent="0.25">
      <c r="A671" s="1">
        <v>670</v>
      </c>
      <c r="B671">
        <v>3.088672065882847E-2</v>
      </c>
      <c r="C671" s="1">
        <f t="shared" si="58"/>
        <v>195</v>
      </c>
      <c r="D671" s="1">
        <f t="shared" si="59"/>
        <v>306</v>
      </c>
      <c r="E671" s="1">
        <f t="shared" si="60"/>
        <v>306</v>
      </c>
      <c r="F671" s="1">
        <f t="shared" si="61"/>
        <v>94</v>
      </c>
      <c r="G671" s="1">
        <f t="shared" si="62"/>
        <v>2163.2399999999998</v>
      </c>
    </row>
    <row r="672" spans="1:7" x14ac:dyDescent="0.25">
      <c r="A672" s="1">
        <v>671</v>
      </c>
      <c r="B672">
        <v>0.61087257050924726</v>
      </c>
      <c r="C672" s="1">
        <f t="shared" si="58"/>
        <v>79</v>
      </c>
      <c r="D672" s="1">
        <f t="shared" si="59"/>
        <v>422</v>
      </c>
      <c r="E672" s="1">
        <f t="shared" si="60"/>
        <v>400</v>
      </c>
      <c r="F672" s="1">
        <f t="shared" si="61"/>
        <v>0</v>
      </c>
      <c r="G672" s="1">
        <f t="shared" si="62"/>
        <v>2872</v>
      </c>
    </row>
    <row r="673" spans="1:7" x14ac:dyDescent="0.25">
      <c r="A673" s="1">
        <v>672</v>
      </c>
      <c r="B673">
        <v>0.35535546505258586</v>
      </c>
      <c r="C673" s="1">
        <f t="shared" si="58"/>
        <v>130</v>
      </c>
      <c r="D673" s="1">
        <f t="shared" si="59"/>
        <v>371</v>
      </c>
      <c r="E673" s="1">
        <f t="shared" si="60"/>
        <v>371</v>
      </c>
      <c r="F673" s="1">
        <f t="shared" si="61"/>
        <v>29</v>
      </c>
      <c r="G673" s="1">
        <f t="shared" si="62"/>
        <v>2653.34</v>
      </c>
    </row>
    <row r="674" spans="1:7" x14ac:dyDescent="0.25">
      <c r="A674" s="1">
        <v>673</v>
      </c>
      <c r="B674">
        <v>0.3237090840280088</v>
      </c>
      <c r="C674" s="1">
        <f t="shared" si="58"/>
        <v>136</v>
      </c>
      <c r="D674" s="1">
        <f t="shared" si="59"/>
        <v>365</v>
      </c>
      <c r="E674" s="1">
        <f t="shared" si="60"/>
        <v>365</v>
      </c>
      <c r="F674" s="1">
        <f t="shared" si="61"/>
        <v>35</v>
      </c>
      <c r="G674" s="1">
        <f t="shared" si="62"/>
        <v>2608.1</v>
      </c>
    </row>
    <row r="675" spans="1:7" x14ac:dyDescent="0.25">
      <c r="A675" s="1">
        <v>674</v>
      </c>
      <c r="B675">
        <v>0.3055633657701845</v>
      </c>
      <c r="C675" s="1">
        <f t="shared" si="58"/>
        <v>140</v>
      </c>
      <c r="D675" s="1">
        <f t="shared" si="59"/>
        <v>361</v>
      </c>
      <c r="E675" s="1">
        <f t="shared" si="60"/>
        <v>361</v>
      </c>
      <c r="F675" s="1">
        <f t="shared" si="61"/>
        <v>39</v>
      </c>
      <c r="G675" s="1">
        <f t="shared" si="62"/>
        <v>2577.94</v>
      </c>
    </row>
    <row r="676" spans="1:7" x14ac:dyDescent="0.25">
      <c r="A676" s="1">
        <v>675</v>
      </c>
      <c r="B676">
        <v>0.92752825843556108</v>
      </c>
      <c r="C676" s="1">
        <f t="shared" si="58"/>
        <v>15</v>
      </c>
      <c r="D676" s="1">
        <f t="shared" si="59"/>
        <v>486</v>
      </c>
      <c r="E676" s="1">
        <f t="shared" si="60"/>
        <v>400</v>
      </c>
      <c r="F676" s="1">
        <f t="shared" si="61"/>
        <v>0</v>
      </c>
      <c r="G676" s="1">
        <f t="shared" si="62"/>
        <v>2872</v>
      </c>
    </row>
    <row r="677" spans="1:7" x14ac:dyDescent="0.25">
      <c r="A677" s="1">
        <v>676</v>
      </c>
      <c r="B677">
        <v>0.8258664477646761</v>
      </c>
      <c r="C677" s="1">
        <f t="shared" si="58"/>
        <v>36</v>
      </c>
      <c r="D677" s="1">
        <f t="shared" si="59"/>
        <v>465</v>
      </c>
      <c r="E677" s="1">
        <f t="shared" si="60"/>
        <v>400</v>
      </c>
      <c r="F677" s="1">
        <f t="shared" si="61"/>
        <v>0</v>
      </c>
      <c r="G677" s="1">
        <f t="shared" si="62"/>
        <v>2872</v>
      </c>
    </row>
    <row r="678" spans="1:7" x14ac:dyDescent="0.25">
      <c r="A678" s="1">
        <v>677</v>
      </c>
      <c r="B678">
        <v>0.31440627091279238</v>
      </c>
      <c r="C678" s="1">
        <f t="shared" si="58"/>
        <v>138</v>
      </c>
      <c r="D678" s="1">
        <f t="shared" si="59"/>
        <v>363</v>
      </c>
      <c r="E678" s="1">
        <f t="shared" si="60"/>
        <v>363</v>
      </c>
      <c r="F678" s="1">
        <f t="shared" si="61"/>
        <v>37</v>
      </c>
      <c r="G678" s="1">
        <f t="shared" si="62"/>
        <v>2593.02</v>
      </c>
    </row>
    <row r="679" spans="1:7" x14ac:dyDescent="0.25">
      <c r="A679" s="1">
        <v>678</v>
      </c>
      <c r="B679">
        <v>0.40840242859153264</v>
      </c>
      <c r="C679" s="1">
        <f t="shared" si="58"/>
        <v>119</v>
      </c>
      <c r="D679" s="1">
        <f t="shared" si="59"/>
        <v>382</v>
      </c>
      <c r="E679" s="1">
        <f t="shared" si="60"/>
        <v>382</v>
      </c>
      <c r="F679" s="1">
        <f t="shared" si="61"/>
        <v>18</v>
      </c>
      <c r="G679" s="1">
        <f t="shared" si="62"/>
        <v>2736.28</v>
      </c>
    </row>
    <row r="680" spans="1:7" x14ac:dyDescent="0.25">
      <c r="A680" s="1">
        <v>679</v>
      </c>
      <c r="B680">
        <v>0.94712475098857707</v>
      </c>
      <c r="C680" s="1">
        <f t="shared" si="58"/>
        <v>11</v>
      </c>
      <c r="D680" s="1">
        <f t="shared" si="59"/>
        <v>490</v>
      </c>
      <c r="E680" s="1">
        <f t="shared" si="60"/>
        <v>400</v>
      </c>
      <c r="F680" s="1">
        <f t="shared" si="61"/>
        <v>0</v>
      </c>
      <c r="G680" s="1">
        <f t="shared" si="62"/>
        <v>2872</v>
      </c>
    </row>
    <row r="681" spans="1:7" x14ac:dyDescent="0.25">
      <c r="A681" s="1">
        <v>680</v>
      </c>
      <c r="B681">
        <v>0.8166348061139671</v>
      </c>
      <c r="C681" s="1">
        <f t="shared" si="58"/>
        <v>37</v>
      </c>
      <c r="D681" s="1">
        <f t="shared" si="59"/>
        <v>464</v>
      </c>
      <c r="E681" s="1">
        <f t="shared" si="60"/>
        <v>400</v>
      </c>
      <c r="F681" s="1">
        <f t="shared" si="61"/>
        <v>0</v>
      </c>
      <c r="G681" s="1">
        <f t="shared" si="62"/>
        <v>2872</v>
      </c>
    </row>
    <row r="682" spans="1:7" x14ac:dyDescent="0.25">
      <c r="A682" s="1">
        <v>681</v>
      </c>
      <c r="B682">
        <v>0.57767428968532542</v>
      </c>
      <c r="C682" s="1">
        <f t="shared" si="58"/>
        <v>85</v>
      </c>
      <c r="D682" s="1">
        <f t="shared" si="59"/>
        <v>416</v>
      </c>
      <c r="E682" s="1">
        <f t="shared" si="60"/>
        <v>400</v>
      </c>
      <c r="F682" s="1">
        <f t="shared" si="61"/>
        <v>0</v>
      </c>
      <c r="G682" s="1">
        <f t="shared" si="62"/>
        <v>2872</v>
      </c>
    </row>
    <row r="683" spans="1:7" x14ac:dyDescent="0.25">
      <c r="A683" s="1">
        <v>682</v>
      </c>
      <c r="B683">
        <v>0.21013971126041797</v>
      </c>
      <c r="C683" s="1">
        <f t="shared" si="58"/>
        <v>159</v>
      </c>
      <c r="D683" s="1">
        <f t="shared" si="59"/>
        <v>342</v>
      </c>
      <c r="E683" s="1">
        <f t="shared" si="60"/>
        <v>342</v>
      </c>
      <c r="F683" s="1">
        <f t="shared" si="61"/>
        <v>58</v>
      </c>
      <c r="G683" s="1">
        <f t="shared" si="62"/>
        <v>2434.6799999999998</v>
      </c>
    </row>
    <row r="684" spans="1:7" x14ac:dyDescent="0.25">
      <c r="A684" s="1">
        <v>683</v>
      </c>
      <c r="B684">
        <v>0.2962593545705261</v>
      </c>
      <c r="C684" s="1">
        <f t="shared" si="58"/>
        <v>142</v>
      </c>
      <c r="D684" s="1">
        <f t="shared" si="59"/>
        <v>359</v>
      </c>
      <c r="E684" s="1">
        <f t="shared" si="60"/>
        <v>359</v>
      </c>
      <c r="F684" s="1">
        <f t="shared" si="61"/>
        <v>41</v>
      </c>
      <c r="G684" s="1">
        <f t="shared" si="62"/>
        <v>2562.86</v>
      </c>
    </row>
    <row r="685" spans="1:7" x14ac:dyDescent="0.25">
      <c r="A685" s="1">
        <v>684</v>
      </c>
      <c r="B685">
        <v>0.98492567663537756</v>
      </c>
      <c r="C685" s="1">
        <f t="shared" si="58"/>
        <v>4</v>
      </c>
      <c r="D685" s="1">
        <f t="shared" si="59"/>
        <v>497</v>
      </c>
      <c r="E685" s="1">
        <f t="shared" si="60"/>
        <v>400</v>
      </c>
      <c r="F685" s="1">
        <f t="shared" si="61"/>
        <v>0</v>
      </c>
      <c r="G685" s="1">
        <f t="shared" si="62"/>
        <v>2872</v>
      </c>
    </row>
    <row r="686" spans="1:7" x14ac:dyDescent="0.25">
      <c r="A686" s="1">
        <v>685</v>
      </c>
      <c r="B686">
        <v>0.84273586557303082</v>
      </c>
      <c r="C686" s="1">
        <f t="shared" si="58"/>
        <v>32</v>
      </c>
      <c r="D686" s="1">
        <f t="shared" si="59"/>
        <v>469</v>
      </c>
      <c r="E686" s="1">
        <f t="shared" si="60"/>
        <v>400</v>
      </c>
      <c r="F686" s="1">
        <f t="shared" si="61"/>
        <v>0</v>
      </c>
      <c r="G686" s="1">
        <f t="shared" si="62"/>
        <v>2872</v>
      </c>
    </row>
    <row r="687" spans="1:7" x14ac:dyDescent="0.25">
      <c r="A687" s="1">
        <v>686</v>
      </c>
      <c r="B687">
        <v>0.15759196778247553</v>
      </c>
      <c r="C687" s="1">
        <f t="shared" si="58"/>
        <v>170</v>
      </c>
      <c r="D687" s="1">
        <f t="shared" si="59"/>
        <v>331</v>
      </c>
      <c r="E687" s="1">
        <f t="shared" si="60"/>
        <v>331</v>
      </c>
      <c r="F687" s="1">
        <f t="shared" si="61"/>
        <v>69</v>
      </c>
      <c r="G687" s="1">
        <f t="shared" si="62"/>
        <v>2351.7399999999998</v>
      </c>
    </row>
    <row r="688" spans="1:7" x14ac:dyDescent="0.25">
      <c r="A688" s="1">
        <v>687</v>
      </c>
      <c r="B688">
        <v>7.4531770583693424E-3</v>
      </c>
      <c r="C688" s="1">
        <f t="shared" si="58"/>
        <v>200</v>
      </c>
      <c r="D688" s="1">
        <f t="shared" si="59"/>
        <v>301</v>
      </c>
      <c r="E688" s="1">
        <f t="shared" si="60"/>
        <v>301</v>
      </c>
      <c r="F688" s="1">
        <f t="shared" si="61"/>
        <v>99</v>
      </c>
      <c r="G688" s="1">
        <f t="shared" si="62"/>
        <v>2125.54</v>
      </c>
    </row>
    <row r="689" spans="1:7" x14ac:dyDescent="0.25">
      <c r="A689" s="1">
        <v>688</v>
      </c>
      <c r="B689">
        <v>0.77777470085983003</v>
      </c>
      <c r="C689" s="1">
        <f t="shared" si="58"/>
        <v>45</v>
      </c>
      <c r="D689" s="1">
        <f t="shared" si="59"/>
        <v>456</v>
      </c>
      <c r="E689" s="1">
        <f t="shared" si="60"/>
        <v>400</v>
      </c>
      <c r="F689" s="1">
        <f t="shared" si="61"/>
        <v>0</v>
      </c>
      <c r="G689" s="1">
        <f t="shared" si="62"/>
        <v>2872</v>
      </c>
    </row>
    <row r="690" spans="1:7" x14ac:dyDescent="0.25">
      <c r="A690" s="1">
        <v>689</v>
      </c>
      <c r="B690">
        <v>0.96039570151788456</v>
      </c>
      <c r="C690" s="1">
        <f t="shared" si="58"/>
        <v>8</v>
      </c>
      <c r="D690" s="1">
        <f t="shared" si="59"/>
        <v>493</v>
      </c>
      <c r="E690" s="1">
        <f t="shared" si="60"/>
        <v>400</v>
      </c>
      <c r="F690" s="1">
        <f t="shared" si="61"/>
        <v>0</v>
      </c>
      <c r="G690" s="1">
        <f t="shared" si="62"/>
        <v>2872</v>
      </c>
    </row>
    <row r="691" spans="1:7" x14ac:dyDescent="0.25">
      <c r="A691" s="1">
        <v>690</v>
      </c>
      <c r="B691">
        <v>0.34495071436336244</v>
      </c>
      <c r="C691" s="1">
        <f t="shared" si="58"/>
        <v>132</v>
      </c>
      <c r="D691" s="1">
        <f t="shared" si="59"/>
        <v>369</v>
      </c>
      <c r="E691" s="1">
        <f t="shared" si="60"/>
        <v>369</v>
      </c>
      <c r="F691" s="1">
        <f t="shared" si="61"/>
        <v>31</v>
      </c>
      <c r="G691" s="1">
        <f t="shared" si="62"/>
        <v>2638.26</v>
      </c>
    </row>
    <row r="692" spans="1:7" x14ac:dyDescent="0.25">
      <c r="A692" s="1">
        <v>691</v>
      </c>
      <c r="B692">
        <v>0.9361095727932579</v>
      </c>
      <c r="C692" s="1">
        <f t="shared" si="58"/>
        <v>13</v>
      </c>
      <c r="D692" s="1">
        <f t="shared" si="59"/>
        <v>488</v>
      </c>
      <c r="E692" s="1">
        <f t="shared" si="60"/>
        <v>400</v>
      </c>
      <c r="F692" s="1">
        <f t="shared" si="61"/>
        <v>0</v>
      </c>
      <c r="G692" s="1">
        <f t="shared" si="62"/>
        <v>2872</v>
      </c>
    </row>
    <row r="693" spans="1:7" x14ac:dyDescent="0.25">
      <c r="A693" s="1">
        <v>692</v>
      </c>
      <c r="B693">
        <v>0.65262053959331845</v>
      </c>
      <c r="C693" s="1">
        <f t="shared" si="58"/>
        <v>70</v>
      </c>
      <c r="D693" s="1">
        <f t="shared" si="59"/>
        <v>431</v>
      </c>
      <c r="E693" s="1">
        <f t="shared" si="60"/>
        <v>400</v>
      </c>
      <c r="F693" s="1">
        <f t="shared" si="61"/>
        <v>0</v>
      </c>
      <c r="G693" s="1">
        <f t="shared" si="62"/>
        <v>2872</v>
      </c>
    </row>
    <row r="694" spans="1:7" x14ac:dyDescent="0.25">
      <c r="A694" s="1">
        <v>693</v>
      </c>
      <c r="B694">
        <v>0.19632700029963579</v>
      </c>
      <c r="C694" s="1">
        <f t="shared" si="58"/>
        <v>162</v>
      </c>
      <c r="D694" s="1">
        <f t="shared" si="59"/>
        <v>339</v>
      </c>
      <c r="E694" s="1">
        <f t="shared" si="60"/>
        <v>339</v>
      </c>
      <c r="F694" s="1">
        <f t="shared" si="61"/>
        <v>61</v>
      </c>
      <c r="G694" s="1">
        <f t="shared" si="62"/>
        <v>2412.06</v>
      </c>
    </row>
    <row r="695" spans="1:7" x14ac:dyDescent="0.25">
      <c r="A695" s="1">
        <v>694</v>
      </c>
      <c r="B695">
        <v>0.69273057693344375</v>
      </c>
      <c r="C695" s="1">
        <f t="shared" si="58"/>
        <v>62</v>
      </c>
      <c r="D695" s="1">
        <f t="shared" si="59"/>
        <v>439</v>
      </c>
      <c r="E695" s="1">
        <f t="shared" si="60"/>
        <v>400</v>
      </c>
      <c r="F695" s="1">
        <f t="shared" si="61"/>
        <v>0</v>
      </c>
      <c r="G695" s="1">
        <f t="shared" si="62"/>
        <v>2872</v>
      </c>
    </row>
    <row r="696" spans="1:7" x14ac:dyDescent="0.25">
      <c r="A696" s="1">
        <v>695</v>
      </c>
      <c r="B696">
        <v>0.98907202365832625</v>
      </c>
      <c r="C696" s="1">
        <f t="shared" si="58"/>
        <v>3</v>
      </c>
      <c r="D696" s="1">
        <f t="shared" si="59"/>
        <v>498</v>
      </c>
      <c r="E696" s="1">
        <f t="shared" si="60"/>
        <v>400</v>
      </c>
      <c r="F696" s="1">
        <f t="shared" si="61"/>
        <v>0</v>
      </c>
      <c r="G696" s="1">
        <f t="shared" si="62"/>
        <v>2872</v>
      </c>
    </row>
    <row r="697" spans="1:7" x14ac:dyDescent="0.25">
      <c r="A697" s="1">
        <v>696</v>
      </c>
      <c r="B697">
        <v>0.88163824819955749</v>
      </c>
      <c r="C697" s="1">
        <f t="shared" si="58"/>
        <v>24</v>
      </c>
      <c r="D697" s="1">
        <f t="shared" si="59"/>
        <v>477</v>
      </c>
      <c r="E697" s="1">
        <f t="shared" si="60"/>
        <v>400</v>
      </c>
      <c r="F697" s="1">
        <f t="shared" si="61"/>
        <v>0</v>
      </c>
      <c r="G697" s="1">
        <f t="shared" si="62"/>
        <v>2872</v>
      </c>
    </row>
    <row r="698" spans="1:7" x14ac:dyDescent="0.25">
      <c r="A698" s="1">
        <v>697</v>
      </c>
      <c r="B698">
        <v>0.55447855904476318</v>
      </c>
      <c r="C698" s="1">
        <f t="shared" si="58"/>
        <v>90</v>
      </c>
      <c r="D698" s="1">
        <f t="shared" si="59"/>
        <v>411</v>
      </c>
      <c r="E698" s="1">
        <f t="shared" si="60"/>
        <v>400</v>
      </c>
      <c r="F698" s="1">
        <f t="shared" si="61"/>
        <v>0</v>
      </c>
      <c r="G698" s="1">
        <f t="shared" si="62"/>
        <v>2872</v>
      </c>
    </row>
    <row r="699" spans="1:7" x14ac:dyDescent="0.25">
      <c r="A699" s="1">
        <v>698</v>
      </c>
      <c r="B699">
        <v>0.70351823580048345</v>
      </c>
      <c r="C699" s="1">
        <f t="shared" si="58"/>
        <v>60</v>
      </c>
      <c r="D699" s="1">
        <f t="shared" si="59"/>
        <v>441</v>
      </c>
      <c r="E699" s="1">
        <f t="shared" si="60"/>
        <v>400</v>
      </c>
      <c r="F699" s="1">
        <f t="shared" si="61"/>
        <v>0</v>
      </c>
      <c r="G699" s="1">
        <f t="shared" si="62"/>
        <v>2872</v>
      </c>
    </row>
    <row r="700" spans="1:7" x14ac:dyDescent="0.25">
      <c r="A700" s="1">
        <v>699</v>
      </c>
      <c r="B700">
        <v>0.25077908790665526</v>
      </c>
      <c r="C700" s="1">
        <f t="shared" si="58"/>
        <v>151</v>
      </c>
      <c r="D700" s="1">
        <f t="shared" si="59"/>
        <v>350</v>
      </c>
      <c r="E700" s="1">
        <f t="shared" si="60"/>
        <v>350</v>
      </c>
      <c r="F700" s="1">
        <f t="shared" si="61"/>
        <v>50</v>
      </c>
      <c r="G700" s="1">
        <f t="shared" si="62"/>
        <v>2495</v>
      </c>
    </row>
    <row r="701" spans="1:7" x14ac:dyDescent="0.25">
      <c r="A701" s="1">
        <v>700</v>
      </c>
      <c r="B701">
        <v>0.9346145257767513</v>
      </c>
      <c r="C701" s="1">
        <f t="shared" si="58"/>
        <v>14</v>
      </c>
      <c r="D701" s="1">
        <f t="shared" si="59"/>
        <v>487</v>
      </c>
      <c r="E701" s="1">
        <f t="shared" si="60"/>
        <v>400</v>
      </c>
      <c r="F701" s="1">
        <f t="shared" si="61"/>
        <v>0</v>
      </c>
      <c r="G701" s="1">
        <f t="shared" si="62"/>
        <v>2872</v>
      </c>
    </row>
    <row r="702" spans="1:7" x14ac:dyDescent="0.25">
      <c r="A702" s="1">
        <v>701</v>
      </c>
      <c r="B702">
        <v>0.45758571059166653</v>
      </c>
      <c r="C702" s="1">
        <f t="shared" si="58"/>
        <v>110</v>
      </c>
      <c r="D702" s="1">
        <f t="shared" si="59"/>
        <v>391</v>
      </c>
      <c r="E702" s="1">
        <f t="shared" si="60"/>
        <v>391</v>
      </c>
      <c r="F702" s="1">
        <f t="shared" si="61"/>
        <v>9</v>
      </c>
      <c r="G702" s="1">
        <f t="shared" si="62"/>
        <v>2804.14</v>
      </c>
    </row>
    <row r="703" spans="1:7" x14ac:dyDescent="0.25">
      <c r="A703" s="1">
        <v>702</v>
      </c>
      <c r="B703">
        <v>0.80824998748747701</v>
      </c>
      <c r="C703" s="1">
        <f t="shared" si="58"/>
        <v>39</v>
      </c>
      <c r="D703" s="1">
        <f t="shared" si="59"/>
        <v>462</v>
      </c>
      <c r="E703" s="1">
        <f t="shared" si="60"/>
        <v>400</v>
      </c>
      <c r="F703" s="1">
        <f t="shared" si="61"/>
        <v>0</v>
      </c>
      <c r="G703" s="1">
        <f t="shared" si="62"/>
        <v>2872</v>
      </c>
    </row>
    <row r="704" spans="1:7" x14ac:dyDescent="0.25">
      <c r="A704" s="1">
        <v>703</v>
      </c>
      <c r="B704">
        <v>0.3642548395454146</v>
      </c>
      <c r="C704" s="1">
        <f t="shared" si="58"/>
        <v>128</v>
      </c>
      <c r="D704" s="1">
        <f t="shared" si="59"/>
        <v>373</v>
      </c>
      <c r="E704" s="1">
        <f t="shared" si="60"/>
        <v>373</v>
      </c>
      <c r="F704" s="1">
        <f t="shared" si="61"/>
        <v>27</v>
      </c>
      <c r="G704" s="1">
        <f t="shared" si="62"/>
        <v>2668.42</v>
      </c>
    </row>
    <row r="705" spans="1:7" x14ac:dyDescent="0.25">
      <c r="A705" s="1">
        <v>704</v>
      </c>
      <c r="B705">
        <v>8.2874944920733551E-2</v>
      </c>
      <c r="C705" s="1">
        <f t="shared" si="58"/>
        <v>185</v>
      </c>
      <c r="D705" s="1">
        <f t="shared" si="59"/>
        <v>316</v>
      </c>
      <c r="E705" s="1">
        <f t="shared" si="60"/>
        <v>316</v>
      </c>
      <c r="F705" s="1">
        <f t="shared" si="61"/>
        <v>84</v>
      </c>
      <c r="G705" s="1">
        <f t="shared" si="62"/>
        <v>2238.64</v>
      </c>
    </row>
    <row r="706" spans="1:7" x14ac:dyDescent="0.25">
      <c r="A706" s="1">
        <v>705</v>
      </c>
      <c r="B706">
        <v>0.20477873626197518</v>
      </c>
      <c r="C706" s="1">
        <f t="shared" ref="C706:C769" si="63">MATCH(B706,$N$2:$N$202,-1)</f>
        <v>160</v>
      </c>
      <c r="D706" s="1">
        <f t="shared" ref="D706:D769" si="64">INDEX($L$2:$L$202,C706)</f>
        <v>341</v>
      </c>
      <c r="E706" s="1">
        <f t="shared" si="60"/>
        <v>341</v>
      </c>
      <c r="F706" s="1">
        <f t="shared" si="61"/>
        <v>59</v>
      </c>
      <c r="G706" s="1">
        <f t="shared" si="62"/>
        <v>2427.14</v>
      </c>
    </row>
    <row r="707" spans="1:7" x14ac:dyDescent="0.25">
      <c r="A707" s="1">
        <v>706</v>
      </c>
      <c r="B707">
        <v>0.43005106093374224</v>
      </c>
      <c r="C707" s="1">
        <f t="shared" si="63"/>
        <v>115</v>
      </c>
      <c r="D707" s="1">
        <f t="shared" si="64"/>
        <v>386</v>
      </c>
      <c r="E707" s="1">
        <f t="shared" ref="E707:E770" si="65">MIN(D707,$I$2)</f>
        <v>386</v>
      </c>
      <c r="F707" s="1">
        <f t="shared" ref="F707:F770" si="66">$I$2-E707</f>
        <v>14</v>
      </c>
      <c r="G707" s="1">
        <f t="shared" ref="G707:G770" si="67">7.5*E707-$I$2/25*8-F707/25*1</f>
        <v>2766.44</v>
      </c>
    </row>
    <row r="708" spans="1:7" x14ac:dyDescent="0.25">
      <c r="A708" s="1">
        <v>707</v>
      </c>
      <c r="B708">
        <v>9.4206681036206774E-2</v>
      </c>
      <c r="C708" s="1">
        <f t="shared" si="63"/>
        <v>183</v>
      </c>
      <c r="D708" s="1">
        <f t="shared" si="64"/>
        <v>318</v>
      </c>
      <c r="E708" s="1">
        <f t="shared" si="65"/>
        <v>318</v>
      </c>
      <c r="F708" s="1">
        <f t="shared" si="66"/>
        <v>82</v>
      </c>
      <c r="G708" s="1">
        <f t="shared" si="67"/>
        <v>2253.7199999999998</v>
      </c>
    </row>
    <row r="709" spans="1:7" x14ac:dyDescent="0.25">
      <c r="A709" s="1">
        <v>708</v>
      </c>
      <c r="B709">
        <v>8.7921912062896901E-2</v>
      </c>
      <c r="C709" s="1">
        <f t="shared" si="63"/>
        <v>184</v>
      </c>
      <c r="D709" s="1">
        <f t="shared" si="64"/>
        <v>317</v>
      </c>
      <c r="E709" s="1">
        <f t="shared" si="65"/>
        <v>317</v>
      </c>
      <c r="F709" s="1">
        <f t="shared" si="66"/>
        <v>83</v>
      </c>
      <c r="G709" s="1">
        <f t="shared" si="67"/>
        <v>2246.1799999999998</v>
      </c>
    </row>
    <row r="710" spans="1:7" x14ac:dyDescent="0.25">
      <c r="A710" s="1">
        <v>709</v>
      </c>
      <c r="B710">
        <v>0.83625586203870805</v>
      </c>
      <c r="C710" s="1">
        <f t="shared" si="63"/>
        <v>33</v>
      </c>
      <c r="D710" s="1">
        <f t="shared" si="64"/>
        <v>468</v>
      </c>
      <c r="E710" s="1">
        <f t="shared" si="65"/>
        <v>400</v>
      </c>
      <c r="F710" s="1">
        <f t="shared" si="66"/>
        <v>0</v>
      </c>
      <c r="G710" s="1">
        <f t="shared" si="67"/>
        <v>2872</v>
      </c>
    </row>
    <row r="711" spans="1:7" x14ac:dyDescent="0.25">
      <c r="A711" s="1">
        <v>710</v>
      </c>
      <c r="B711">
        <v>0.44292899718434309</v>
      </c>
      <c r="C711" s="1">
        <f t="shared" si="63"/>
        <v>112</v>
      </c>
      <c r="D711" s="1">
        <f t="shared" si="64"/>
        <v>389</v>
      </c>
      <c r="E711" s="1">
        <f t="shared" si="65"/>
        <v>389</v>
      </c>
      <c r="F711" s="1">
        <f t="shared" si="66"/>
        <v>11</v>
      </c>
      <c r="G711" s="1">
        <f t="shared" si="67"/>
        <v>2789.06</v>
      </c>
    </row>
    <row r="712" spans="1:7" x14ac:dyDescent="0.25">
      <c r="A712" s="1">
        <v>711</v>
      </c>
      <c r="B712">
        <v>0.26095256018784241</v>
      </c>
      <c r="C712" s="1">
        <f t="shared" si="63"/>
        <v>149</v>
      </c>
      <c r="D712" s="1">
        <f t="shared" si="64"/>
        <v>352</v>
      </c>
      <c r="E712" s="1">
        <f t="shared" si="65"/>
        <v>352</v>
      </c>
      <c r="F712" s="1">
        <f t="shared" si="66"/>
        <v>48</v>
      </c>
      <c r="G712" s="1">
        <f t="shared" si="67"/>
        <v>2510.08</v>
      </c>
    </row>
    <row r="713" spans="1:7" x14ac:dyDescent="0.25">
      <c r="A713" s="1">
        <v>712</v>
      </c>
      <c r="B713">
        <v>0.78157883764717673</v>
      </c>
      <c r="C713" s="1">
        <f t="shared" si="63"/>
        <v>44</v>
      </c>
      <c r="D713" s="1">
        <f t="shared" si="64"/>
        <v>457</v>
      </c>
      <c r="E713" s="1">
        <f t="shared" si="65"/>
        <v>400</v>
      </c>
      <c r="F713" s="1">
        <f t="shared" si="66"/>
        <v>0</v>
      </c>
      <c r="G713" s="1">
        <f t="shared" si="67"/>
        <v>2872</v>
      </c>
    </row>
    <row r="714" spans="1:7" x14ac:dyDescent="0.25">
      <c r="A714" s="1">
        <v>713</v>
      </c>
      <c r="B714">
        <v>0.13687882917865279</v>
      </c>
      <c r="C714" s="1">
        <f t="shared" si="63"/>
        <v>174</v>
      </c>
      <c r="D714" s="1">
        <f t="shared" si="64"/>
        <v>327</v>
      </c>
      <c r="E714" s="1">
        <f t="shared" si="65"/>
        <v>327</v>
      </c>
      <c r="F714" s="1">
        <f t="shared" si="66"/>
        <v>73</v>
      </c>
      <c r="G714" s="1">
        <f t="shared" si="67"/>
        <v>2321.58</v>
      </c>
    </row>
    <row r="715" spans="1:7" x14ac:dyDescent="0.25">
      <c r="A715" s="1">
        <v>714</v>
      </c>
      <c r="B715">
        <v>0.70169358019109485</v>
      </c>
      <c r="C715" s="1">
        <f t="shared" si="63"/>
        <v>60</v>
      </c>
      <c r="D715" s="1">
        <f t="shared" si="64"/>
        <v>441</v>
      </c>
      <c r="E715" s="1">
        <f t="shared" si="65"/>
        <v>400</v>
      </c>
      <c r="F715" s="1">
        <f t="shared" si="66"/>
        <v>0</v>
      </c>
      <c r="G715" s="1">
        <f t="shared" si="67"/>
        <v>2872</v>
      </c>
    </row>
    <row r="716" spans="1:7" x14ac:dyDescent="0.25">
      <c r="A716" s="1">
        <v>715</v>
      </c>
      <c r="B716">
        <v>0.14402205317272776</v>
      </c>
      <c r="C716" s="1">
        <f t="shared" si="63"/>
        <v>173</v>
      </c>
      <c r="D716" s="1">
        <f t="shared" si="64"/>
        <v>328</v>
      </c>
      <c r="E716" s="1">
        <f t="shared" si="65"/>
        <v>328</v>
      </c>
      <c r="F716" s="1">
        <f t="shared" si="66"/>
        <v>72</v>
      </c>
      <c r="G716" s="1">
        <f t="shared" si="67"/>
        <v>2329.12</v>
      </c>
    </row>
    <row r="717" spans="1:7" x14ac:dyDescent="0.25">
      <c r="A717" s="1">
        <v>716</v>
      </c>
      <c r="B717">
        <v>0.57376507868584992</v>
      </c>
      <c r="C717" s="1">
        <f t="shared" si="63"/>
        <v>86</v>
      </c>
      <c r="D717" s="1">
        <f t="shared" si="64"/>
        <v>415</v>
      </c>
      <c r="E717" s="1">
        <f t="shared" si="65"/>
        <v>400</v>
      </c>
      <c r="F717" s="1">
        <f t="shared" si="66"/>
        <v>0</v>
      </c>
      <c r="G717" s="1">
        <f t="shared" si="67"/>
        <v>2872</v>
      </c>
    </row>
    <row r="718" spans="1:7" x14ac:dyDescent="0.25">
      <c r="A718" s="1">
        <v>717</v>
      </c>
      <c r="B718">
        <v>0.21266304728019525</v>
      </c>
      <c r="C718" s="1">
        <f t="shared" si="63"/>
        <v>159</v>
      </c>
      <c r="D718" s="1">
        <f t="shared" si="64"/>
        <v>342</v>
      </c>
      <c r="E718" s="1">
        <f t="shared" si="65"/>
        <v>342</v>
      </c>
      <c r="F718" s="1">
        <f t="shared" si="66"/>
        <v>58</v>
      </c>
      <c r="G718" s="1">
        <f t="shared" si="67"/>
        <v>2434.6799999999998</v>
      </c>
    </row>
    <row r="719" spans="1:7" x14ac:dyDescent="0.25">
      <c r="A719" s="1">
        <v>718</v>
      </c>
      <c r="B719">
        <v>0.42961074172097979</v>
      </c>
      <c r="C719" s="1">
        <f t="shared" si="63"/>
        <v>115</v>
      </c>
      <c r="D719" s="1">
        <f t="shared" si="64"/>
        <v>386</v>
      </c>
      <c r="E719" s="1">
        <f t="shared" si="65"/>
        <v>386</v>
      </c>
      <c r="F719" s="1">
        <f t="shared" si="66"/>
        <v>14</v>
      </c>
      <c r="G719" s="1">
        <f t="shared" si="67"/>
        <v>2766.44</v>
      </c>
    </row>
    <row r="720" spans="1:7" x14ac:dyDescent="0.25">
      <c r="A720" s="1">
        <v>719</v>
      </c>
      <c r="B720">
        <v>0.45293661980014965</v>
      </c>
      <c r="C720" s="1">
        <f t="shared" si="63"/>
        <v>110</v>
      </c>
      <c r="D720" s="1">
        <f t="shared" si="64"/>
        <v>391</v>
      </c>
      <c r="E720" s="1">
        <f t="shared" si="65"/>
        <v>391</v>
      </c>
      <c r="F720" s="1">
        <f t="shared" si="66"/>
        <v>9</v>
      </c>
      <c r="G720" s="1">
        <f t="shared" si="67"/>
        <v>2804.14</v>
      </c>
    </row>
    <row r="721" spans="1:7" x14ac:dyDescent="0.25">
      <c r="A721" s="1">
        <v>720</v>
      </c>
      <c r="B721">
        <v>0.28925062942888125</v>
      </c>
      <c r="C721" s="1">
        <f t="shared" si="63"/>
        <v>143</v>
      </c>
      <c r="D721" s="1">
        <f t="shared" si="64"/>
        <v>358</v>
      </c>
      <c r="E721" s="1">
        <f t="shared" si="65"/>
        <v>358</v>
      </c>
      <c r="F721" s="1">
        <f t="shared" si="66"/>
        <v>42</v>
      </c>
      <c r="G721" s="1">
        <f t="shared" si="67"/>
        <v>2555.3200000000002</v>
      </c>
    </row>
    <row r="722" spans="1:7" x14ac:dyDescent="0.25">
      <c r="A722" s="1">
        <v>721</v>
      </c>
      <c r="B722">
        <v>0.13600792133919826</v>
      </c>
      <c r="C722" s="1">
        <f t="shared" si="63"/>
        <v>174</v>
      </c>
      <c r="D722" s="1">
        <f t="shared" si="64"/>
        <v>327</v>
      </c>
      <c r="E722" s="1">
        <f t="shared" si="65"/>
        <v>327</v>
      </c>
      <c r="F722" s="1">
        <f t="shared" si="66"/>
        <v>73</v>
      </c>
      <c r="G722" s="1">
        <f t="shared" si="67"/>
        <v>2321.58</v>
      </c>
    </row>
    <row r="723" spans="1:7" x14ac:dyDescent="0.25">
      <c r="A723" s="1">
        <v>722</v>
      </c>
      <c r="B723">
        <v>0.91174169089324919</v>
      </c>
      <c r="C723" s="1">
        <f t="shared" si="63"/>
        <v>18</v>
      </c>
      <c r="D723" s="1">
        <f t="shared" si="64"/>
        <v>483</v>
      </c>
      <c r="E723" s="1">
        <f t="shared" si="65"/>
        <v>400</v>
      </c>
      <c r="F723" s="1">
        <f t="shared" si="66"/>
        <v>0</v>
      </c>
      <c r="G723" s="1">
        <f t="shared" si="67"/>
        <v>2872</v>
      </c>
    </row>
    <row r="724" spans="1:7" x14ac:dyDescent="0.25">
      <c r="A724" s="1">
        <v>723</v>
      </c>
      <c r="B724">
        <v>0.86699570698114325</v>
      </c>
      <c r="C724" s="1">
        <f t="shared" si="63"/>
        <v>27</v>
      </c>
      <c r="D724" s="1">
        <f t="shared" si="64"/>
        <v>474</v>
      </c>
      <c r="E724" s="1">
        <f t="shared" si="65"/>
        <v>400</v>
      </c>
      <c r="F724" s="1">
        <f t="shared" si="66"/>
        <v>0</v>
      </c>
      <c r="G724" s="1">
        <f t="shared" si="67"/>
        <v>2872</v>
      </c>
    </row>
    <row r="725" spans="1:7" x14ac:dyDescent="0.25">
      <c r="A725" s="1">
        <v>724</v>
      </c>
      <c r="B725">
        <v>0.49021579782788649</v>
      </c>
      <c r="C725" s="1">
        <f t="shared" si="63"/>
        <v>103</v>
      </c>
      <c r="D725" s="1">
        <f t="shared" si="64"/>
        <v>398</v>
      </c>
      <c r="E725" s="1">
        <f t="shared" si="65"/>
        <v>398</v>
      </c>
      <c r="F725" s="1">
        <f t="shared" si="66"/>
        <v>2</v>
      </c>
      <c r="G725" s="1">
        <f t="shared" si="67"/>
        <v>2856.92</v>
      </c>
    </row>
    <row r="726" spans="1:7" x14ac:dyDescent="0.25">
      <c r="A726" s="1">
        <v>725</v>
      </c>
      <c r="B726">
        <v>0.29837160449747313</v>
      </c>
      <c r="C726" s="1">
        <f t="shared" si="63"/>
        <v>142</v>
      </c>
      <c r="D726" s="1">
        <f t="shared" si="64"/>
        <v>359</v>
      </c>
      <c r="E726" s="1">
        <f t="shared" si="65"/>
        <v>359</v>
      </c>
      <c r="F726" s="1">
        <f t="shared" si="66"/>
        <v>41</v>
      </c>
      <c r="G726" s="1">
        <f t="shared" si="67"/>
        <v>2562.86</v>
      </c>
    </row>
    <row r="727" spans="1:7" x14ac:dyDescent="0.25">
      <c r="A727" s="1">
        <v>726</v>
      </c>
      <c r="B727">
        <v>0.90554594624675</v>
      </c>
      <c r="C727" s="1">
        <f t="shared" si="63"/>
        <v>19</v>
      </c>
      <c r="D727" s="1">
        <f t="shared" si="64"/>
        <v>482</v>
      </c>
      <c r="E727" s="1">
        <f t="shared" si="65"/>
        <v>400</v>
      </c>
      <c r="F727" s="1">
        <f t="shared" si="66"/>
        <v>0</v>
      </c>
      <c r="G727" s="1">
        <f t="shared" si="67"/>
        <v>2872</v>
      </c>
    </row>
    <row r="728" spans="1:7" x14ac:dyDescent="0.25">
      <c r="A728" s="1">
        <v>727</v>
      </c>
      <c r="B728">
        <v>0.77351034578415878</v>
      </c>
      <c r="C728" s="1">
        <f t="shared" si="63"/>
        <v>46</v>
      </c>
      <c r="D728" s="1">
        <f t="shared" si="64"/>
        <v>455</v>
      </c>
      <c r="E728" s="1">
        <f t="shared" si="65"/>
        <v>400</v>
      </c>
      <c r="F728" s="1">
        <f t="shared" si="66"/>
        <v>0</v>
      </c>
      <c r="G728" s="1">
        <f t="shared" si="67"/>
        <v>2872</v>
      </c>
    </row>
    <row r="729" spans="1:7" x14ac:dyDescent="0.25">
      <c r="A729" s="1">
        <v>728</v>
      </c>
      <c r="B729">
        <v>0.60593436356244024</v>
      </c>
      <c r="C729" s="1">
        <f t="shared" si="63"/>
        <v>80</v>
      </c>
      <c r="D729" s="1">
        <f t="shared" si="64"/>
        <v>421</v>
      </c>
      <c r="E729" s="1">
        <f t="shared" si="65"/>
        <v>400</v>
      </c>
      <c r="F729" s="1">
        <f t="shared" si="66"/>
        <v>0</v>
      </c>
      <c r="G729" s="1">
        <f t="shared" si="67"/>
        <v>2872</v>
      </c>
    </row>
    <row r="730" spans="1:7" x14ac:dyDescent="0.25">
      <c r="A730" s="1">
        <v>729</v>
      </c>
      <c r="B730">
        <v>0.8059304382281991</v>
      </c>
      <c r="C730" s="1">
        <f t="shared" si="63"/>
        <v>40</v>
      </c>
      <c r="D730" s="1">
        <f t="shared" si="64"/>
        <v>461</v>
      </c>
      <c r="E730" s="1">
        <f t="shared" si="65"/>
        <v>400</v>
      </c>
      <c r="F730" s="1">
        <f t="shared" si="66"/>
        <v>0</v>
      </c>
      <c r="G730" s="1">
        <f t="shared" si="67"/>
        <v>2872</v>
      </c>
    </row>
    <row r="731" spans="1:7" x14ac:dyDescent="0.25">
      <c r="A731" s="1">
        <v>730</v>
      </c>
      <c r="B731">
        <v>0.49903377495317003</v>
      </c>
      <c r="C731" s="1">
        <f t="shared" si="63"/>
        <v>101</v>
      </c>
      <c r="D731" s="1">
        <f t="shared" si="64"/>
        <v>400</v>
      </c>
      <c r="E731" s="1">
        <f t="shared" si="65"/>
        <v>400</v>
      </c>
      <c r="F731" s="1">
        <f t="shared" si="66"/>
        <v>0</v>
      </c>
      <c r="G731" s="1">
        <f t="shared" si="67"/>
        <v>2872</v>
      </c>
    </row>
    <row r="732" spans="1:7" x14ac:dyDescent="0.25">
      <c r="A732" s="1">
        <v>731</v>
      </c>
      <c r="B732">
        <v>4.3516254671979615E-2</v>
      </c>
      <c r="C732" s="1">
        <f t="shared" si="63"/>
        <v>193</v>
      </c>
      <c r="D732" s="1">
        <f t="shared" si="64"/>
        <v>308</v>
      </c>
      <c r="E732" s="1">
        <f t="shared" si="65"/>
        <v>308</v>
      </c>
      <c r="F732" s="1">
        <f t="shared" si="66"/>
        <v>92</v>
      </c>
      <c r="G732" s="1">
        <f t="shared" si="67"/>
        <v>2178.3200000000002</v>
      </c>
    </row>
    <row r="733" spans="1:7" x14ac:dyDescent="0.25">
      <c r="A733" s="1">
        <v>732</v>
      </c>
      <c r="B733">
        <v>0.63516228590571921</v>
      </c>
      <c r="C733" s="1">
        <f t="shared" si="63"/>
        <v>74</v>
      </c>
      <c r="D733" s="1">
        <f t="shared" si="64"/>
        <v>427</v>
      </c>
      <c r="E733" s="1">
        <f t="shared" si="65"/>
        <v>400</v>
      </c>
      <c r="F733" s="1">
        <f t="shared" si="66"/>
        <v>0</v>
      </c>
      <c r="G733" s="1">
        <f t="shared" si="67"/>
        <v>2872</v>
      </c>
    </row>
    <row r="734" spans="1:7" x14ac:dyDescent="0.25">
      <c r="A734" s="1">
        <v>733</v>
      </c>
      <c r="B734">
        <v>0.96359791721848664</v>
      </c>
      <c r="C734" s="1">
        <f t="shared" si="63"/>
        <v>8</v>
      </c>
      <c r="D734" s="1">
        <f t="shared" si="64"/>
        <v>493</v>
      </c>
      <c r="E734" s="1">
        <f t="shared" si="65"/>
        <v>400</v>
      </c>
      <c r="F734" s="1">
        <f t="shared" si="66"/>
        <v>0</v>
      </c>
      <c r="G734" s="1">
        <f t="shared" si="67"/>
        <v>2872</v>
      </c>
    </row>
    <row r="735" spans="1:7" x14ac:dyDescent="0.25">
      <c r="A735" s="1">
        <v>734</v>
      </c>
      <c r="B735">
        <v>0.72816460457024645</v>
      </c>
      <c r="C735" s="1">
        <f t="shared" si="63"/>
        <v>55</v>
      </c>
      <c r="D735" s="1">
        <f t="shared" si="64"/>
        <v>446</v>
      </c>
      <c r="E735" s="1">
        <f t="shared" si="65"/>
        <v>400</v>
      </c>
      <c r="F735" s="1">
        <f t="shared" si="66"/>
        <v>0</v>
      </c>
      <c r="G735" s="1">
        <f t="shared" si="67"/>
        <v>2872</v>
      </c>
    </row>
    <row r="736" spans="1:7" x14ac:dyDescent="0.25">
      <c r="A736" s="1">
        <v>735</v>
      </c>
      <c r="B736">
        <v>0.14437901838734057</v>
      </c>
      <c r="C736" s="1">
        <f t="shared" si="63"/>
        <v>172</v>
      </c>
      <c r="D736" s="1">
        <f t="shared" si="64"/>
        <v>329</v>
      </c>
      <c r="E736" s="1">
        <f t="shared" si="65"/>
        <v>329</v>
      </c>
      <c r="F736" s="1">
        <f t="shared" si="66"/>
        <v>71</v>
      </c>
      <c r="G736" s="1">
        <f t="shared" si="67"/>
        <v>2336.66</v>
      </c>
    </row>
    <row r="737" spans="1:7" x14ac:dyDescent="0.25">
      <c r="A737" s="1">
        <v>736</v>
      </c>
      <c r="B737">
        <v>0.43646618880280685</v>
      </c>
      <c r="C737" s="1">
        <f t="shared" si="63"/>
        <v>114</v>
      </c>
      <c r="D737" s="1">
        <f t="shared" si="64"/>
        <v>387</v>
      </c>
      <c r="E737" s="1">
        <f t="shared" si="65"/>
        <v>387</v>
      </c>
      <c r="F737" s="1">
        <f t="shared" si="66"/>
        <v>13</v>
      </c>
      <c r="G737" s="1">
        <f t="shared" si="67"/>
        <v>2773.98</v>
      </c>
    </row>
    <row r="738" spans="1:7" x14ac:dyDescent="0.25">
      <c r="A738" s="1">
        <v>737</v>
      </c>
      <c r="B738">
        <v>0.71755991419102716</v>
      </c>
      <c r="C738" s="1">
        <f t="shared" si="63"/>
        <v>57</v>
      </c>
      <c r="D738" s="1">
        <f t="shared" si="64"/>
        <v>444</v>
      </c>
      <c r="E738" s="1">
        <f t="shared" si="65"/>
        <v>400</v>
      </c>
      <c r="F738" s="1">
        <f t="shared" si="66"/>
        <v>0</v>
      </c>
      <c r="G738" s="1">
        <f t="shared" si="67"/>
        <v>2872</v>
      </c>
    </row>
    <row r="739" spans="1:7" x14ac:dyDescent="0.25">
      <c r="A739" s="1">
        <v>738</v>
      </c>
      <c r="B739">
        <v>0.93012865886527529</v>
      </c>
      <c r="C739" s="1">
        <f t="shared" si="63"/>
        <v>15</v>
      </c>
      <c r="D739" s="1">
        <f t="shared" si="64"/>
        <v>486</v>
      </c>
      <c r="E739" s="1">
        <f t="shared" si="65"/>
        <v>400</v>
      </c>
      <c r="F739" s="1">
        <f t="shared" si="66"/>
        <v>0</v>
      </c>
      <c r="G739" s="1">
        <f t="shared" si="67"/>
        <v>2872</v>
      </c>
    </row>
    <row r="740" spans="1:7" x14ac:dyDescent="0.25">
      <c r="A740" s="1">
        <v>739</v>
      </c>
      <c r="B740">
        <v>0.86186003781243825</v>
      </c>
      <c r="C740" s="1">
        <f t="shared" si="63"/>
        <v>28</v>
      </c>
      <c r="D740" s="1">
        <f t="shared" si="64"/>
        <v>473</v>
      </c>
      <c r="E740" s="1">
        <f t="shared" si="65"/>
        <v>400</v>
      </c>
      <c r="F740" s="1">
        <f t="shared" si="66"/>
        <v>0</v>
      </c>
      <c r="G740" s="1">
        <f t="shared" si="67"/>
        <v>2872</v>
      </c>
    </row>
    <row r="741" spans="1:7" x14ac:dyDescent="0.25">
      <c r="A741" s="1">
        <v>740</v>
      </c>
      <c r="B741">
        <v>0.75815136540054995</v>
      </c>
      <c r="C741" s="1">
        <f t="shared" si="63"/>
        <v>49</v>
      </c>
      <c r="D741" s="1">
        <f t="shared" si="64"/>
        <v>452</v>
      </c>
      <c r="E741" s="1">
        <f t="shared" si="65"/>
        <v>400</v>
      </c>
      <c r="F741" s="1">
        <f t="shared" si="66"/>
        <v>0</v>
      </c>
      <c r="G741" s="1">
        <f t="shared" si="67"/>
        <v>2872</v>
      </c>
    </row>
    <row r="742" spans="1:7" x14ac:dyDescent="0.25">
      <c r="A742" s="1">
        <v>741</v>
      </c>
      <c r="B742">
        <v>0.97353588686020187</v>
      </c>
      <c r="C742" s="1">
        <f t="shared" si="63"/>
        <v>6</v>
      </c>
      <c r="D742" s="1">
        <f t="shared" si="64"/>
        <v>495</v>
      </c>
      <c r="E742" s="1">
        <f t="shared" si="65"/>
        <v>400</v>
      </c>
      <c r="F742" s="1">
        <f t="shared" si="66"/>
        <v>0</v>
      </c>
      <c r="G742" s="1">
        <f t="shared" si="67"/>
        <v>2872</v>
      </c>
    </row>
    <row r="743" spans="1:7" x14ac:dyDescent="0.25">
      <c r="A743" s="1">
        <v>742</v>
      </c>
      <c r="B743">
        <v>9.9766861144208741E-2</v>
      </c>
      <c r="C743" s="1">
        <f t="shared" si="63"/>
        <v>181</v>
      </c>
      <c r="D743" s="1">
        <f t="shared" si="64"/>
        <v>320</v>
      </c>
      <c r="E743" s="1">
        <f t="shared" si="65"/>
        <v>320</v>
      </c>
      <c r="F743" s="1">
        <f t="shared" si="66"/>
        <v>80</v>
      </c>
      <c r="G743" s="1">
        <f t="shared" si="67"/>
        <v>2268.8000000000002</v>
      </c>
    </row>
    <row r="744" spans="1:7" x14ac:dyDescent="0.25">
      <c r="A744" s="1">
        <v>743</v>
      </c>
      <c r="B744">
        <v>0.7870236694381213</v>
      </c>
      <c r="C744" s="1">
        <f t="shared" si="63"/>
        <v>43</v>
      </c>
      <c r="D744" s="1">
        <f t="shared" si="64"/>
        <v>458</v>
      </c>
      <c r="E744" s="1">
        <f t="shared" si="65"/>
        <v>400</v>
      </c>
      <c r="F744" s="1">
        <f t="shared" si="66"/>
        <v>0</v>
      </c>
      <c r="G744" s="1">
        <f t="shared" si="67"/>
        <v>2872</v>
      </c>
    </row>
    <row r="745" spans="1:7" x14ac:dyDescent="0.25">
      <c r="A745" s="1">
        <v>744</v>
      </c>
      <c r="B745">
        <v>0.34890068583418532</v>
      </c>
      <c r="C745" s="1">
        <f t="shared" si="63"/>
        <v>131</v>
      </c>
      <c r="D745" s="1">
        <f t="shared" si="64"/>
        <v>370</v>
      </c>
      <c r="E745" s="1">
        <f t="shared" si="65"/>
        <v>370</v>
      </c>
      <c r="F745" s="1">
        <f t="shared" si="66"/>
        <v>30</v>
      </c>
      <c r="G745" s="1">
        <f t="shared" si="67"/>
        <v>2645.8</v>
      </c>
    </row>
    <row r="746" spans="1:7" x14ac:dyDescent="0.25">
      <c r="A746" s="1">
        <v>745</v>
      </c>
      <c r="B746">
        <v>0.82717822802021534</v>
      </c>
      <c r="C746" s="1">
        <f t="shared" si="63"/>
        <v>35</v>
      </c>
      <c r="D746" s="1">
        <f t="shared" si="64"/>
        <v>466</v>
      </c>
      <c r="E746" s="1">
        <f t="shared" si="65"/>
        <v>400</v>
      </c>
      <c r="F746" s="1">
        <f t="shared" si="66"/>
        <v>0</v>
      </c>
      <c r="G746" s="1">
        <f t="shared" si="67"/>
        <v>2872</v>
      </c>
    </row>
    <row r="747" spans="1:7" x14ac:dyDescent="0.25">
      <c r="A747" s="1">
        <v>746</v>
      </c>
      <c r="B747">
        <v>7.0707731339157531E-2</v>
      </c>
      <c r="C747" s="1">
        <f t="shared" si="63"/>
        <v>187</v>
      </c>
      <c r="D747" s="1">
        <f t="shared" si="64"/>
        <v>314</v>
      </c>
      <c r="E747" s="1">
        <f t="shared" si="65"/>
        <v>314</v>
      </c>
      <c r="F747" s="1">
        <f t="shared" si="66"/>
        <v>86</v>
      </c>
      <c r="G747" s="1">
        <f t="shared" si="67"/>
        <v>2223.56</v>
      </c>
    </row>
    <row r="748" spans="1:7" x14ac:dyDescent="0.25">
      <c r="A748" s="1">
        <v>747</v>
      </c>
      <c r="B748">
        <v>6.8054320032521542E-2</v>
      </c>
      <c r="C748" s="1">
        <f t="shared" si="63"/>
        <v>188</v>
      </c>
      <c r="D748" s="1">
        <f t="shared" si="64"/>
        <v>313</v>
      </c>
      <c r="E748" s="1">
        <f t="shared" si="65"/>
        <v>313</v>
      </c>
      <c r="F748" s="1">
        <f t="shared" si="66"/>
        <v>87</v>
      </c>
      <c r="G748" s="1">
        <f t="shared" si="67"/>
        <v>2216.02</v>
      </c>
    </row>
    <row r="749" spans="1:7" x14ac:dyDescent="0.25">
      <c r="A749" s="1">
        <v>748</v>
      </c>
      <c r="B749">
        <v>0.24121276000337111</v>
      </c>
      <c r="C749" s="1">
        <f t="shared" si="63"/>
        <v>153</v>
      </c>
      <c r="D749" s="1">
        <f t="shared" si="64"/>
        <v>348</v>
      </c>
      <c r="E749" s="1">
        <f t="shared" si="65"/>
        <v>348</v>
      </c>
      <c r="F749" s="1">
        <f t="shared" si="66"/>
        <v>52</v>
      </c>
      <c r="G749" s="1">
        <f t="shared" si="67"/>
        <v>2479.92</v>
      </c>
    </row>
    <row r="750" spans="1:7" x14ac:dyDescent="0.25">
      <c r="A750" s="1">
        <v>749</v>
      </c>
      <c r="B750">
        <v>0.90251299506364802</v>
      </c>
      <c r="C750" s="1">
        <f t="shared" si="63"/>
        <v>20</v>
      </c>
      <c r="D750" s="1">
        <f t="shared" si="64"/>
        <v>481</v>
      </c>
      <c r="E750" s="1">
        <f t="shared" si="65"/>
        <v>400</v>
      </c>
      <c r="F750" s="1">
        <f t="shared" si="66"/>
        <v>0</v>
      </c>
      <c r="G750" s="1">
        <f t="shared" si="67"/>
        <v>2872</v>
      </c>
    </row>
    <row r="751" spans="1:7" x14ac:dyDescent="0.25">
      <c r="A751" s="1">
        <v>750</v>
      </c>
      <c r="B751">
        <v>0.14788040897514576</v>
      </c>
      <c r="C751" s="1">
        <f t="shared" si="63"/>
        <v>172</v>
      </c>
      <c r="D751" s="1">
        <f t="shared" si="64"/>
        <v>329</v>
      </c>
      <c r="E751" s="1">
        <f t="shared" si="65"/>
        <v>329</v>
      </c>
      <c r="F751" s="1">
        <f t="shared" si="66"/>
        <v>71</v>
      </c>
      <c r="G751" s="1">
        <f t="shared" si="67"/>
        <v>2336.66</v>
      </c>
    </row>
    <row r="752" spans="1:7" x14ac:dyDescent="0.25">
      <c r="A752" s="1">
        <v>751</v>
      </c>
      <c r="B752">
        <v>0.89963921924342094</v>
      </c>
      <c r="C752" s="1">
        <f t="shared" si="63"/>
        <v>21</v>
      </c>
      <c r="D752" s="1">
        <f t="shared" si="64"/>
        <v>480</v>
      </c>
      <c r="E752" s="1">
        <f t="shared" si="65"/>
        <v>400</v>
      </c>
      <c r="F752" s="1">
        <f t="shared" si="66"/>
        <v>0</v>
      </c>
      <c r="G752" s="1">
        <f t="shared" si="67"/>
        <v>2872</v>
      </c>
    </row>
    <row r="753" spans="1:7" x14ac:dyDescent="0.25">
      <c r="A753" s="1">
        <v>752</v>
      </c>
      <c r="B753">
        <v>0.28618229733130673</v>
      </c>
      <c r="C753" s="1">
        <f t="shared" si="63"/>
        <v>144</v>
      </c>
      <c r="D753" s="1">
        <f t="shared" si="64"/>
        <v>357</v>
      </c>
      <c r="E753" s="1">
        <f t="shared" si="65"/>
        <v>357</v>
      </c>
      <c r="F753" s="1">
        <f t="shared" si="66"/>
        <v>43</v>
      </c>
      <c r="G753" s="1">
        <f t="shared" si="67"/>
        <v>2547.7800000000002</v>
      </c>
    </row>
    <row r="754" spans="1:7" x14ac:dyDescent="0.25">
      <c r="A754" s="1">
        <v>753</v>
      </c>
      <c r="B754">
        <v>0.28914460380549678</v>
      </c>
      <c r="C754" s="1">
        <f t="shared" si="63"/>
        <v>143</v>
      </c>
      <c r="D754" s="1">
        <f t="shared" si="64"/>
        <v>358</v>
      </c>
      <c r="E754" s="1">
        <f t="shared" si="65"/>
        <v>358</v>
      </c>
      <c r="F754" s="1">
        <f t="shared" si="66"/>
        <v>42</v>
      </c>
      <c r="G754" s="1">
        <f t="shared" si="67"/>
        <v>2555.3200000000002</v>
      </c>
    </row>
    <row r="755" spans="1:7" x14ac:dyDescent="0.25">
      <c r="A755" s="1">
        <v>754</v>
      </c>
      <c r="B755">
        <v>0.99876896596344444</v>
      </c>
      <c r="C755" s="1">
        <f t="shared" si="63"/>
        <v>1</v>
      </c>
      <c r="D755" s="1">
        <f t="shared" si="64"/>
        <v>500</v>
      </c>
      <c r="E755" s="1">
        <f t="shared" si="65"/>
        <v>400</v>
      </c>
      <c r="F755" s="1">
        <f t="shared" si="66"/>
        <v>0</v>
      </c>
      <c r="G755" s="1">
        <f t="shared" si="67"/>
        <v>2872</v>
      </c>
    </row>
    <row r="756" spans="1:7" x14ac:dyDescent="0.25">
      <c r="A756" s="1">
        <v>755</v>
      </c>
      <c r="B756">
        <v>0.60534852052038257</v>
      </c>
      <c r="C756" s="1">
        <f t="shared" si="63"/>
        <v>80</v>
      </c>
      <c r="D756" s="1">
        <f t="shared" si="64"/>
        <v>421</v>
      </c>
      <c r="E756" s="1">
        <f t="shared" si="65"/>
        <v>400</v>
      </c>
      <c r="F756" s="1">
        <f t="shared" si="66"/>
        <v>0</v>
      </c>
      <c r="G756" s="1">
        <f t="shared" si="67"/>
        <v>2872</v>
      </c>
    </row>
    <row r="757" spans="1:7" x14ac:dyDescent="0.25">
      <c r="A757" s="1">
        <v>756</v>
      </c>
      <c r="B757">
        <v>0.42319953282612177</v>
      </c>
      <c r="C757" s="1">
        <f t="shared" si="63"/>
        <v>116</v>
      </c>
      <c r="D757" s="1">
        <f t="shared" si="64"/>
        <v>385</v>
      </c>
      <c r="E757" s="1">
        <f t="shared" si="65"/>
        <v>385</v>
      </c>
      <c r="F757" s="1">
        <f t="shared" si="66"/>
        <v>15</v>
      </c>
      <c r="G757" s="1">
        <f t="shared" si="67"/>
        <v>2758.9</v>
      </c>
    </row>
    <row r="758" spans="1:7" x14ac:dyDescent="0.25">
      <c r="A758" s="1">
        <v>757</v>
      </c>
      <c r="B758">
        <v>0.74082375243752263</v>
      </c>
      <c r="C758" s="1">
        <f t="shared" si="63"/>
        <v>53</v>
      </c>
      <c r="D758" s="1">
        <f t="shared" si="64"/>
        <v>448</v>
      </c>
      <c r="E758" s="1">
        <f t="shared" si="65"/>
        <v>400</v>
      </c>
      <c r="F758" s="1">
        <f t="shared" si="66"/>
        <v>0</v>
      </c>
      <c r="G758" s="1">
        <f t="shared" si="67"/>
        <v>2872</v>
      </c>
    </row>
    <row r="759" spans="1:7" x14ac:dyDescent="0.25">
      <c r="A759" s="1">
        <v>758</v>
      </c>
      <c r="B759">
        <v>0.6946961428545273</v>
      </c>
      <c r="C759" s="1">
        <f t="shared" si="63"/>
        <v>62</v>
      </c>
      <c r="D759" s="1">
        <f t="shared" si="64"/>
        <v>439</v>
      </c>
      <c r="E759" s="1">
        <f t="shared" si="65"/>
        <v>400</v>
      </c>
      <c r="F759" s="1">
        <f t="shared" si="66"/>
        <v>0</v>
      </c>
      <c r="G759" s="1">
        <f t="shared" si="67"/>
        <v>2872</v>
      </c>
    </row>
    <row r="760" spans="1:7" x14ac:dyDescent="0.25">
      <c r="A760" s="1">
        <v>759</v>
      </c>
      <c r="B760">
        <v>0.93847015848665594</v>
      </c>
      <c r="C760" s="1">
        <f t="shared" si="63"/>
        <v>13</v>
      </c>
      <c r="D760" s="1">
        <f t="shared" si="64"/>
        <v>488</v>
      </c>
      <c r="E760" s="1">
        <f t="shared" si="65"/>
        <v>400</v>
      </c>
      <c r="F760" s="1">
        <f t="shared" si="66"/>
        <v>0</v>
      </c>
      <c r="G760" s="1">
        <f t="shared" si="67"/>
        <v>2872</v>
      </c>
    </row>
    <row r="761" spans="1:7" x14ac:dyDescent="0.25">
      <c r="A761" s="1">
        <v>760</v>
      </c>
      <c r="B761">
        <v>0.87175157487342336</v>
      </c>
      <c r="C761" s="1">
        <f t="shared" si="63"/>
        <v>26</v>
      </c>
      <c r="D761" s="1">
        <f t="shared" si="64"/>
        <v>475</v>
      </c>
      <c r="E761" s="1">
        <f t="shared" si="65"/>
        <v>400</v>
      </c>
      <c r="F761" s="1">
        <f t="shared" si="66"/>
        <v>0</v>
      </c>
      <c r="G761" s="1">
        <f t="shared" si="67"/>
        <v>2872</v>
      </c>
    </row>
    <row r="762" spans="1:7" x14ac:dyDescent="0.25">
      <c r="A762" s="1">
        <v>761</v>
      </c>
      <c r="B762">
        <v>0.25428459976671469</v>
      </c>
      <c r="C762" s="1">
        <f t="shared" si="63"/>
        <v>150</v>
      </c>
      <c r="D762" s="1">
        <f t="shared" si="64"/>
        <v>351</v>
      </c>
      <c r="E762" s="1">
        <f t="shared" si="65"/>
        <v>351</v>
      </c>
      <c r="F762" s="1">
        <f t="shared" si="66"/>
        <v>49</v>
      </c>
      <c r="G762" s="1">
        <f t="shared" si="67"/>
        <v>2502.54</v>
      </c>
    </row>
    <row r="763" spans="1:7" x14ac:dyDescent="0.25">
      <c r="A763" s="1">
        <v>762</v>
      </c>
      <c r="B763">
        <v>0.33261174384847381</v>
      </c>
      <c r="C763" s="1">
        <f t="shared" si="63"/>
        <v>135</v>
      </c>
      <c r="D763" s="1">
        <f t="shared" si="64"/>
        <v>366</v>
      </c>
      <c r="E763" s="1">
        <f t="shared" si="65"/>
        <v>366</v>
      </c>
      <c r="F763" s="1">
        <f t="shared" si="66"/>
        <v>34</v>
      </c>
      <c r="G763" s="1">
        <f t="shared" si="67"/>
        <v>2615.64</v>
      </c>
    </row>
    <row r="764" spans="1:7" x14ac:dyDescent="0.25">
      <c r="A764" s="1">
        <v>763</v>
      </c>
      <c r="B764">
        <v>0.41501683848935711</v>
      </c>
      <c r="C764" s="1">
        <f t="shared" si="63"/>
        <v>118</v>
      </c>
      <c r="D764" s="1">
        <f t="shared" si="64"/>
        <v>383</v>
      </c>
      <c r="E764" s="1">
        <f t="shared" si="65"/>
        <v>383</v>
      </c>
      <c r="F764" s="1">
        <f t="shared" si="66"/>
        <v>17</v>
      </c>
      <c r="G764" s="1">
        <f t="shared" si="67"/>
        <v>2743.82</v>
      </c>
    </row>
    <row r="765" spans="1:7" x14ac:dyDescent="0.25">
      <c r="A765" s="1">
        <v>764</v>
      </c>
      <c r="B765">
        <v>0.91350071939155419</v>
      </c>
      <c r="C765" s="1">
        <f t="shared" si="63"/>
        <v>18</v>
      </c>
      <c r="D765" s="1">
        <f t="shared" si="64"/>
        <v>483</v>
      </c>
      <c r="E765" s="1">
        <f t="shared" si="65"/>
        <v>400</v>
      </c>
      <c r="F765" s="1">
        <f t="shared" si="66"/>
        <v>0</v>
      </c>
      <c r="G765" s="1">
        <f t="shared" si="67"/>
        <v>2872</v>
      </c>
    </row>
    <row r="766" spans="1:7" x14ac:dyDescent="0.25">
      <c r="A766" s="1">
        <v>765</v>
      </c>
      <c r="B766">
        <v>8.4393249241187629E-2</v>
      </c>
      <c r="C766" s="1">
        <f t="shared" si="63"/>
        <v>185</v>
      </c>
      <c r="D766" s="1">
        <f t="shared" si="64"/>
        <v>316</v>
      </c>
      <c r="E766" s="1">
        <f t="shared" si="65"/>
        <v>316</v>
      </c>
      <c r="F766" s="1">
        <f t="shared" si="66"/>
        <v>84</v>
      </c>
      <c r="G766" s="1">
        <f t="shared" si="67"/>
        <v>2238.64</v>
      </c>
    </row>
    <row r="767" spans="1:7" x14ac:dyDescent="0.25">
      <c r="A767" s="1">
        <v>766</v>
      </c>
      <c r="B767">
        <v>0.42553180246016109</v>
      </c>
      <c r="C767" s="1">
        <f t="shared" si="63"/>
        <v>116</v>
      </c>
      <c r="D767" s="1">
        <f t="shared" si="64"/>
        <v>385</v>
      </c>
      <c r="E767" s="1">
        <f t="shared" si="65"/>
        <v>385</v>
      </c>
      <c r="F767" s="1">
        <f t="shared" si="66"/>
        <v>15</v>
      </c>
      <c r="G767" s="1">
        <f t="shared" si="67"/>
        <v>2758.9</v>
      </c>
    </row>
    <row r="768" spans="1:7" x14ac:dyDescent="0.25">
      <c r="A768" s="1">
        <v>767</v>
      </c>
      <c r="B768">
        <v>0.32605556747125242</v>
      </c>
      <c r="C768" s="1">
        <f t="shared" si="63"/>
        <v>136</v>
      </c>
      <c r="D768" s="1">
        <f t="shared" si="64"/>
        <v>365</v>
      </c>
      <c r="E768" s="1">
        <f t="shared" si="65"/>
        <v>365</v>
      </c>
      <c r="F768" s="1">
        <f t="shared" si="66"/>
        <v>35</v>
      </c>
      <c r="G768" s="1">
        <f t="shared" si="67"/>
        <v>2608.1</v>
      </c>
    </row>
    <row r="769" spans="1:7" x14ac:dyDescent="0.25">
      <c r="A769" s="1">
        <v>768</v>
      </c>
      <c r="B769">
        <v>0.38627650385700385</v>
      </c>
      <c r="C769" s="1">
        <f t="shared" si="63"/>
        <v>124</v>
      </c>
      <c r="D769" s="1">
        <f t="shared" si="64"/>
        <v>377</v>
      </c>
      <c r="E769" s="1">
        <f t="shared" si="65"/>
        <v>377</v>
      </c>
      <c r="F769" s="1">
        <f t="shared" si="66"/>
        <v>23</v>
      </c>
      <c r="G769" s="1">
        <f t="shared" si="67"/>
        <v>2698.58</v>
      </c>
    </row>
    <row r="770" spans="1:7" x14ac:dyDescent="0.25">
      <c r="A770" s="1">
        <v>769</v>
      </c>
      <c r="B770">
        <v>0.44613642964473321</v>
      </c>
      <c r="C770" s="1">
        <f t="shared" ref="C770:C833" si="68">MATCH(B770,$N$2:$N$202,-1)</f>
        <v>112</v>
      </c>
      <c r="D770" s="1">
        <f t="shared" ref="D770:D833" si="69">INDEX($L$2:$L$202,C770)</f>
        <v>389</v>
      </c>
      <c r="E770" s="1">
        <f t="shared" si="65"/>
        <v>389</v>
      </c>
      <c r="F770" s="1">
        <f t="shared" si="66"/>
        <v>11</v>
      </c>
      <c r="G770" s="1">
        <f t="shared" si="67"/>
        <v>2789.06</v>
      </c>
    </row>
    <row r="771" spans="1:7" x14ac:dyDescent="0.25">
      <c r="A771" s="1">
        <v>770</v>
      </c>
      <c r="B771">
        <v>0.17096406331177272</v>
      </c>
      <c r="C771" s="1">
        <f t="shared" si="68"/>
        <v>167</v>
      </c>
      <c r="D771" s="1">
        <f t="shared" si="69"/>
        <v>334</v>
      </c>
      <c r="E771" s="1">
        <f t="shared" ref="E771:E834" si="70">MIN(D771,$I$2)</f>
        <v>334</v>
      </c>
      <c r="F771" s="1">
        <f t="shared" ref="F771:F834" si="71">$I$2-E771</f>
        <v>66</v>
      </c>
      <c r="G771" s="1">
        <f t="shared" ref="G771:G834" si="72">7.5*E771-$I$2/25*8-F771/25*1</f>
        <v>2374.36</v>
      </c>
    </row>
    <row r="772" spans="1:7" x14ac:dyDescent="0.25">
      <c r="A772" s="1">
        <v>771</v>
      </c>
      <c r="B772">
        <v>7.0442737687099855E-2</v>
      </c>
      <c r="C772" s="1">
        <f t="shared" si="68"/>
        <v>187</v>
      </c>
      <c r="D772" s="1">
        <f t="shared" si="69"/>
        <v>314</v>
      </c>
      <c r="E772" s="1">
        <f t="shared" si="70"/>
        <v>314</v>
      </c>
      <c r="F772" s="1">
        <f t="shared" si="71"/>
        <v>86</v>
      </c>
      <c r="G772" s="1">
        <f t="shared" si="72"/>
        <v>2223.56</v>
      </c>
    </row>
    <row r="773" spans="1:7" x14ac:dyDescent="0.25">
      <c r="A773" s="1">
        <v>772</v>
      </c>
      <c r="B773">
        <v>0.11074081013807591</v>
      </c>
      <c r="C773" s="1">
        <f t="shared" si="68"/>
        <v>179</v>
      </c>
      <c r="D773" s="1">
        <f t="shared" si="69"/>
        <v>322</v>
      </c>
      <c r="E773" s="1">
        <f t="shared" si="70"/>
        <v>322</v>
      </c>
      <c r="F773" s="1">
        <f t="shared" si="71"/>
        <v>78</v>
      </c>
      <c r="G773" s="1">
        <f t="shared" si="72"/>
        <v>2283.88</v>
      </c>
    </row>
    <row r="774" spans="1:7" x14ac:dyDescent="0.25">
      <c r="A774" s="1">
        <v>773</v>
      </c>
      <c r="B774">
        <v>0.11354221132494735</v>
      </c>
      <c r="C774" s="1">
        <f t="shared" si="68"/>
        <v>179</v>
      </c>
      <c r="D774" s="1">
        <f t="shared" si="69"/>
        <v>322</v>
      </c>
      <c r="E774" s="1">
        <f t="shared" si="70"/>
        <v>322</v>
      </c>
      <c r="F774" s="1">
        <f t="shared" si="71"/>
        <v>78</v>
      </c>
      <c r="G774" s="1">
        <f t="shared" si="72"/>
        <v>2283.88</v>
      </c>
    </row>
    <row r="775" spans="1:7" x14ac:dyDescent="0.25">
      <c r="A775" s="1">
        <v>774</v>
      </c>
      <c r="B775">
        <v>0.76688562821816286</v>
      </c>
      <c r="C775" s="1">
        <f t="shared" si="68"/>
        <v>47</v>
      </c>
      <c r="D775" s="1">
        <f t="shared" si="69"/>
        <v>454</v>
      </c>
      <c r="E775" s="1">
        <f t="shared" si="70"/>
        <v>400</v>
      </c>
      <c r="F775" s="1">
        <f t="shared" si="71"/>
        <v>0</v>
      </c>
      <c r="G775" s="1">
        <f t="shared" si="72"/>
        <v>2872</v>
      </c>
    </row>
    <row r="776" spans="1:7" x14ac:dyDescent="0.25">
      <c r="A776" s="1">
        <v>775</v>
      </c>
      <c r="B776">
        <v>0.4355802676593229</v>
      </c>
      <c r="C776" s="1">
        <f t="shared" si="68"/>
        <v>114</v>
      </c>
      <c r="D776" s="1">
        <f t="shared" si="69"/>
        <v>387</v>
      </c>
      <c r="E776" s="1">
        <f t="shared" si="70"/>
        <v>387</v>
      </c>
      <c r="F776" s="1">
        <f t="shared" si="71"/>
        <v>13</v>
      </c>
      <c r="G776" s="1">
        <f t="shared" si="72"/>
        <v>2773.98</v>
      </c>
    </row>
    <row r="777" spans="1:7" x14ac:dyDescent="0.25">
      <c r="A777" s="1">
        <v>776</v>
      </c>
      <c r="B777">
        <v>0.50852436580483762</v>
      </c>
      <c r="C777" s="1">
        <f t="shared" si="68"/>
        <v>99</v>
      </c>
      <c r="D777" s="1">
        <f t="shared" si="69"/>
        <v>402</v>
      </c>
      <c r="E777" s="1">
        <f t="shared" si="70"/>
        <v>400</v>
      </c>
      <c r="F777" s="1">
        <f t="shared" si="71"/>
        <v>0</v>
      </c>
      <c r="G777" s="1">
        <f t="shared" si="72"/>
        <v>2872</v>
      </c>
    </row>
    <row r="778" spans="1:7" x14ac:dyDescent="0.25">
      <c r="A778" s="1">
        <v>777</v>
      </c>
      <c r="B778">
        <v>0.84479097795816149</v>
      </c>
      <c r="C778" s="1">
        <f t="shared" si="68"/>
        <v>32</v>
      </c>
      <c r="D778" s="1">
        <f t="shared" si="69"/>
        <v>469</v>
      </c>
      <c r="E778" s="1">
        <f t="shared" si="70"/>
        <v>400</v>
      </c>
      <c r="F778" s="1">
        <f t="shared" si="71"/>
        <v>0</v>
      </c>
      <c r="G778" s="1">
        <f t="shared" si="72"/>
        <v>2872</v>
      </c>
    </row>
    <row r="779" spans="1:7" x14ac:dyDescent="0.25">
      <c r="A779" s="1">
        <v>778</v>
      </c>
      <c r="B779">
        <v>0.19660366299607002</v>
      </c>
      <c r="C779" s="1">
        <f t="shared" si="68"/>
        <v>162</v>
      </c>
      <c r="D779" s="1">
        <f t="shared" si="69"/>
        <v>339</v>
      </c>
      <c r="E779" s="1">
        <f t="shared" si="70"/>
        <v>339</v>
      </c>
      <c r="F779" s="1">
        <f t="shared" si="71"/>
        <v>61</v>
      </c>
      <c r="G779" s="1">
        <f t="shared" si="72"/>
        <v>2412.06</v>
      </c>
    </row>
    <row r="780" spans="1:7" x14ac:dyDescent="0.25">
      <c r="A780" s="1">
        <v>779</v>
      </c>
      <c r="B780">
        <v>0.82204662833886799</v>
      </c>
      <c r="C780" s="1">
        <f t="shared" si="68"/>
        <v>36</v>
      </c>
      <c r="D780" s="1">
        <f t="shared" si="69"/>
        <v>465</v>
      </c>
      <c r="E780" s="1">
        <f t="shared" si="70"/>
        <v>400</v>
      </c>
      <c r="F780" s="1">
        <f t="shared" si="71"/>
        <v>0</v>
      </c>
      <c r="G780" s="1">
        <f t="shared" si="72"/>
        <v>2872</v>
      </c>
    </row>
    <row r="781" spans="1:7" x14ac:dyDescent="0.25">
      <c r="A781" s="1">
        <v>780</v>
      </c>
      <c r="B781">
        <v>0.27044812834867449</v>
      </c>
      <c r="C781" s="1">
        <f t="shared" si="68"/>
        <v>147</v>
      </c>
      <c r="D781" s="1">
        <f t="shared" si="69"/>
        <v>354</v>
      </c>
      <c r="E781" s="1">
        <f t="shared" si="70"/>
        <v>354</v>
      </c>
      <c r="F781" s="1">
        <f t="shared" si="71"/>
        <v>46</v>
      </c>
      <c r="G781" s="1">
        <f t="shared" si="72"/>
        <v>2525.16</v>
      </c>
    </row>
    <row r="782" spans="1:7" x14ac:dyDescent="0.25">
      <c r="A782" s="1">
        <v>781</v>
      </c>
      <c r="B782">
        <v>2.3146997786577028E-2</v>
      </c>
      <c r="C782" s="1">
        <f t="shared" si="68"/>
        <v>197</v>
      </c>
      <c r="D782" s="1">
        <f t="shared" si="69"/>
        <v>304</v>
      </c>
      <c r="E782" s="1">
        <f t="shared" si="70"/>
        <v>304</v>
      </c>
      <c r="F782" s="1">
        <f t="shared" si="71"/>
        <v>96</v>
      </c>
      <c r="G782" s="1">
        <f t="shared" si="72"/>
        <v>2148.16</v>
      </c>
    </row>
    <row r="783" spans="1:7" x14ac:dyDescent="0.25">
      <c r="A783" s="1">
        <v>782</v>
      </c>
      <c r="B783">
        <v>0.15835769345523987</v>
      </c>
      <c r="C783" s="1">
        <f t="shared" si="68"/>
        <v>170</v>
      </c>
      <c r="D783" s="1">
        <f t="shared" si="69"/>
        <v>331</v>
      </c>
      <c r="E783" s="1">
        <f t="shared" si="70"/>
        <v>331</v>
      </c>
      <c r="F783" s="1">
        <f t="shared" si="71"/>
        <v>69</v>
      </c>
      <c r="G783" s="1">
        <f t="shared" si="72"/>
        <v>2351.7399999999998</v>
      </c>
    </row>
    <row r="784" spans="1:7" x14ac:dyDescent="0.25">
      <c r="A784" s="1">
        <v>783</v>
      </c>
      <c r="B784">
        <v>0.18882116202556321</v>
      </c>
      <c r="C784" s="1">
        <f t="shared" si="68"/>
        <v>164</v>
      </c>
      <c r="D784" s="1">
        <f t="shared" si="69"/>
        <v>337</v>
      </c>
      <c r="E784" s="1">
        <f t="shared" si="70"/>
        <v>337</v>
      </c>
      <c r="F784" s="1">
        <f t="shared" si="71"/>
        <v>63</v>
      </c>
      <c r="G784" s="1">
        <f t="shared" si="72"/>
        <v>2396.98</v>
      </c>
    </row>
    <row r="785" spans="1:7" x14ac:dyDescent="0.25">
      <c r="A785" s="1">
        <v>784</v>
      </c>
      <c r="B785">
        <v>0.95797801833539464</v>
      </c>
      <c r="C785" s="1">
        <f t="shared" si="68"/>
        <v>9</v>
      </c>
      <c r="D785" s="1">
        <f t="shared" si="69"/>
        <v>492</v>
      </c>
      <c r="E785" s="1">
        <f t="shared" si="70"/>
        <v>400</v>
      </c>
      <c r="F785" s="1">
        <f t="shared" si="71"/>
        <v>0</v>
      </c>
      <c r="G785" s="1">
        <f t="shared" si="72"/>
        <v>2872</v>
      </c>
    </row>
    <row r="786" spans="1:7" x14ac:dyDescent="0.25">
      <c r="A786" s="1">
        <v>785</v>
      </c>
      <c r="B786">
        <v>9.9961332218032606E-3</v>
      </c>
      <c r="C786" s="1">
        <f t="shared" si="68"/>
        <v>199</v>
      </c>
      <c r="D786" s="1">
        <f t="shared" si="69"/>
        <v>302</v>
      </c>
      <c r="E786" s="1">
        <f t="shared" si="70"/>
        <v>302</v>
      </c>
      <c r="F786" s="1">
        <f t="shared" si="71"/>
        <v>98</v>
      </c>
      <c r="G786" s="1">
        <f t="shared" si="72"/>
        <v>2133.08</v>
      </c>
    </row>
    <row r="787" spans="1:7" x14ac:dyDescent="0.25">
      <c r="A787" s="1">
        <v>786</v>
      </c>
      <c r="B787">
        <v>8.9593602923767945E-2</v>
      </c>
      <c r="C787" s="1">
        <f t="shared" si="68"/>
        <v>183</v>
      </c>
      <c r="D787" s="1">
        <f t="shared" si="69"/>
        <v>318</v>
      </c>
      <c r="E787" s="1">
        <f t="shared" si="70"/>
        <v>318</v>
      </c>
      <c r="F787" s="1">
        <f t="shared" si="71"/>
        <v>82</v>
      </c>
      <c r="G787" s="1">
        <f t="shared" si="72"/>
        <v>2253.7199999999998</v>
      </c>
    </row>
    <row r="788" spans="1:7" x14ac:dyDescent="0.25">
      <c r="A788" s="1">
        <v>787</v>
      </c>
      <c r="B788">
        <v>0.81883062978242105</v>
      </c>
      <c r="C788" s="1">
        <f t="shared" si="68"/>
        <v>37</v>
      </c>
      <c r="D788" s="1">
        <f t="shared" si="69"/>
        <v>464</v>
      </c>
      <c r="E788" s="1">
        <f t="shared" si="70"/>
        <v>400</v>
      </c>
      <c r="F788" s="1">
        <f t="shared" si="71"/>
        <v>0</v>
      </c>
      <c r="G788" s="1">
        <f t="shared" si="72"/>
        <v>2872</v>
      </c>
    </row>
    <row r="789" spans="1:7" x14ac:dyDescent="0.25">
      <c r="A789" s="1">
        <v>788</v>
      </c>
      <c r="B789">
        <v>3.114395340209819E-2</v>
      </c>
      <c r="C789" s="1">
        <f t="shared" si="68"/>
        <v>195</v>
      </c>
      <c r="D789" s="1">
        <f t="shared" si="69"/>
        <v>306</v>
      </c>
      <c r="E789" s="1">
        <f t="shared" si="70"/>
        <v>306</v>
      </c>
      <c r="F789" s="1">
        <f t="shared" si="71"/>
        <v>94</v>
      </c>
      <c r="G789" s="1">
        <f t="shared" si="72"/>
        <v>2163.2399999999998</v>
      </c>
    </row>
    <row r="790" spans="1:7" x14ac:dyDescent="0.25">
      <c r="A790" s="1">
        <v>789</v>
      </c>
      <c r="B790">
        <v>0.48479997525106333</v>
      </c>
      <c r="C790" s="1">
        <f t="shared" si="68"/>
        <v>104</v>
      </c>
      <c r="D790" s="1">
        <f t="shared" si="69"/>
        <v>397</v>
      </c>
      <c r="E790" s="1">
        <f t="shared" si="70"/>
        <v>397</v>
      </c>
      <c r="F790" s="1">
        <f t="shared" si="71"/>
        <v>3</v>
      </c>
      <c r="G790" s="1">
        <f t="shared" si="72"/>
        <v>2849.38</v>
      </c>
    </row>
    <row r="791" spans="1:7" x14ac:dyDescent="0.25">
      <c r="A791" s="1">
        <v>790</v>
      </c>
      <c r="B791">
        <v>4.5935741268969488E-2</v>
      </c>
      <c r="C791" s="1">
        <f t="shared" si="68"/>
        <v>192</v>
      </c>
      <c r="D791" s="1">
        <f t="shared" si="69"/>
        <v>309</v>
      </c>
      <c r="E791" s="1">
        <f t="shared" si="70"/>
        <v>309</v>
      </c>
      <c r="F791" s="1">
        <f t="shared" si="71"/>
        <v>91</v>
      </c>
      <c r="G791" s="1">
        <f t="shared" si="72"/>
        <v>2185.86</v>
      </c>
    </row>
    <row r="792" spans="1:7" x14ac:dyDescent="0.25">
      <c r="A792" s="1">
        <v>791</v>
      </c>
      <c r="B792">
        <v>7.8092563627418232E-2</v>
      </c>
      <c r="C792" s="1">
        <f t="shared" si="68"/>
        <v>186</v>
      </c>
      <c r="D792" s="1">
        <f t="shared" si="69"/>
        <v>315</v>
      </c>
      <c r="E792" s="1">
        <f t="shared" si="70"/>
        <v>315</v>
      </c>
      <c r="F792" s="1">
        <f t="shared" si="71"/>
        <v>85</v>
      </c>
      <c r="G792" s="1">
        <f t="shared" si="72"/>
        <v>2231.1</v>
      </c>
    </row>
    <row r="793" spans="1:7" x14ac:dyDescent="0.25">
      <c r="A793" s="1">
        <v>792</v>
      </c>
      <c r="B793">
        <v>0.98024943846118828</v>
      </c>
      <c r="C793" s="1">
        <f t="shared" si="68"/>
        <v>4</v>
      </c>
      <c r="D793" s="1">
        <f t="shared" si="69"/>
        <v>497</v>
      </c>
      <c r="E793" s="1">
        <f t="shared" si="70"/>
        <v>400</v>
      </c>
      <c r="F793" s="1">
        <f t="shared" si="71"/>
        <v>0</v>
      </c>
      <c r="G793" s="1">
        <f t="shared" si="72"/>
        <v>2872</v>
      </c>
    </row>
    <row r="794" spans="1:7" x14ac:dyDescent="0.25">
      <c r="A794" s="1">
        <v>793</v>
      </c>
      <c r="B794">
        <v>0.66573594815363402</v>
      </c>
      <c r="C794" s="1">
        <f t="shared" si="68"/>
        <v>68</v>
      </c>
      <c r="D794" s="1">
        <f t="shared" si="69"/>
        <v>433</v>
      </c>
      <c r="E794" s="1">
        <f t="shared" si="70"/>
        <v>400</v>
      </c>
      <c r="F794" s="1">
        <f t="shared" si="71"/>
        <v>0</v>
      </c>
      <c r="G794" s="1">
        <f t="shared" si="72"/>
        <v>2872</v>
      </c>
    </row>
    <row r="795" spans="1:7" x14ac:dyDescent="0.25">
      <c r="A795" s="1">
        <v>794</v>
      </c>
      <c r="B795">
        <v>9.379336480990208E-2</v>
      </c>
      <c r="C795" s="1">
        <f t="shared" si="68"/>
        <v>183</v>
      </c>
      <c r="D795" s="1">
        <f t="shared" si="69"/>
        <v>318</v>
      </c>
      <c r="E795" s="1">
        <f t="shared" si="70"/>
        <v>318</v>
      </c>
      <c r="F795" s="1">
        <f t="shared" si="71"/>
        <v>82</v>
      </c>
      <c r="G795" s="1">
        <f t="shared" si="72"/>
        <v>2253.7199999999998</v>
      </c>
    </row>
    <row r="796" spans="1:7" x14ac:dyDescent="0.25">
      <c r="A796" s="1">
        <v>795</v>
      </c>
      <c r="B796">
        <v>0.5748071190769154</v>
      </c>
      <c r="C796" s="1">
        <f t="shared" si="68"/>
        <v>86</v>
      </c>
      <c r="D796" s="1">
        <f t="shared" si="69"/>
        <v>415</v>
      </c>
      <c r="E796" s="1">
        <f t="shared" si="70"/>
        <v>400</v>
      </c>
      <c r="F796" s="1">
        <f t="shared" si="71"/>
        <v>0</v>
      </c>
      <c r="G796" s="1">
        <f t="shared" si="72"/>
        <v>2872</v>
      </c>
    </row>
    <row r="797" spans="1:7" x14ac:dyDescent="0.25">
      <c r="A797" s="1">
        <v>796</v>
      </c>
      <c r="B797">
        <v>0.9061389655030555</v>
      </c>
      <c r="C797" s="1">
        <f t="shared" si="68"/>
        <v>19</v>
      </c>
      <c r="D797" s="1">
        <f t="shared" si="69"/>
        <v>482</v>
      </c>
      <c r="E797" s="1">
        <f t="shared" si="70"/>
        <v>400</v>
      </c>
      <c r="F797" s="1">
        <f t="shared" si="71"/>
        <v>0</v>
      </c>
      <c r="G797" s="1">
        <f t="shared" si="72"/>
        <v>2872</v>
      </c>
    </row>
    <row r="798" spans="1:7" x14ac:dyDescent="0.25">
      <c r="A798" s="1">
        <v>797</v>
      </c>
      <c r="B798">
        <v>0.84729651094181713</v>
      </c>
      <c r="C798" s="1">
        <f t="shared" si="68"/>
        <v>31</v>
      </c>
      <c r="D798" s="1">
        <f t="shared" si="69"/>
        <v>470</v>
      </c>
      <c r="E798" s="1">
        <f t="shared" si="70"/>
        <v>400</v>
      </c>
      <c r="F798" s="1">
        <f t="shared" si="71"/>
        <v>0</v>
      </c>
      <c r="G798" s="1">
        <f t="shared" si="72"/>
        <v>2872</v>
      </c>
    </row>
    <row r="799" spans="1:7" x14ac:dyDescent="0.25">
      <c r="A799" s="1">
        <v>798</v>
      </c>
      <c r="B799">
        <v>0.77773540577065592</v>
      </c>
      <c r="C799" s="1">
        <f t="shared" si="68"/>
        <v>45</v>
      </c>
      <c r="D799" s="1">
        <f t="shared" si="69"/>
        <v>456</v>
      </c>
      <c r="E799" s="1">
        <f t="shared" si="70"/>
        <v>400</v>
      </c>
      <c r="F799" s="1">
        <f t="shared" si="71"/>
        <v>0</v>
      </c>
      <c r="G799" s="1">
        <f t="shared" si="72"/>
        <v>2872</v>
      </c>
    </row>
    <row r="800" spans="1:7" x14ac:dyDescent="0.25">
      <c r="A800" s="1">
        <v>799</v>
      </c>
      <c r="B800">
        <v>0.50730582178605388</v>
      </c>
      <c r="C800" s="1">
        <f t="shared" si="68"/>
        <v>100</v>
      </c>
      <c r="D800" s="1">
        <f t="shared" si="69"/>
        <v>401</v>
      </c>
      <c r="E800" s="1">
        <f t="shared" si="70"/>
        <v>400</v>
      </c>
      <c r="F800" s="1">
        <f t="shared" si="71"/>
        <v>0</v>
      </c>
      <c r="G800" s="1">
        <f t="shared" si="72"/>
        <v>2872</v>
      </c>
    </row>
    <row r="801" spans="1:7" x14ac:dyDescent="0.25">
      <c r="A801" s="1">
        <v>800</v>
      </c>
      <c r="B801">
        <v>0.94343069296275273</v>
      </c>
      <c r="C801" s="1">
        <f t="shared" si="68"/>
        <v>12</v>
      </c>
      <c r="D801" s="1">
        <f t="shared" si="69"/>
        <v>489</v>
      </c>
      <c r="E801" s="1">
        <f t="shared" si="70"/>
        <v>400</v>
      </c>
      <c r="F801" s="1">
        <f t="shared" si="71"/>
        <v>0</v>
      </c>
      <c r="G801" s="1">
        <f t="shared" si="72"/>
        <v>2872</v>
      </c>
    </row>
    <row r="802" spans="1:7" x14ac:dyDescent="0.25">
      <c r="A802" s="1">
        <v>801</v>
      </c>
      <c r="B802">
        <v>0.23142944445775748</v>
      </c>
      <c r="C802" s="1">
        <f t="shared" si="68"/>
        <v>155</v>
      </c>
      <c r="D802" s="1">
        <f t="shared" si="69"/>
        <v>346</v>
      </c>
      <c r="E802" s="1">
        <f t="shared" si="70"/>
        <v>346</v>
      </c>
      <c r="F802" s="1">
        <f t="shared" si="71"/>
        <v>54</v>
      </c>
      <c r="G802" s="1">
        <f t="shared" si="72"/>
        <v>2464.84</v>
      </c>
    </row>
    <row r="803" spans="1:7" x14ac:dyDescent="0.25">
      <c r="A803" s="1">
        <v>802</v>
      </c>
      <c r="B803">
        <v>0.83057610704481166</v>
      </c>
      <c r="C803" s="1">
        <f t="shared" si="68"/>
        <v>35</v>
      </c>
      <c r="D803" s="1">
        <f t="shared" si="69"/>
        <v>466</v>
      </c>
      <c r="E803" s="1">
        <f t="shared" si="70"/>
        <v>400</v>
      </c>
      <c r="F803" s="1">
        <f t="shared" si="71"/>
        <v>0</v>
      </c>
      <c r="G803" s="1">
        <f t="shared" si="72"/>
        <v>2872</v>
      </c>
    </row>
    <row r="804" spans="1:7" x14ac:dyDescent="0.25">
      <c r="A804" s="1">
        <v>803</v>
      </c>
      <c r="B804">
        <v>0.64181902605648877</v>
      </c>
      <c r="C804" s="1">
        <f t="shared" si="68"/>
        <v>72</v>
      </c>
      <c r="D804" s="1">
        <f t="shared" si="69"/>
        <v>429</v>
      </c>
      <c r="E804" s="1">
        <f t="shared" si="70"/>
        <v>400</v>
      </c>
      <c r="F804" s="1">
        <f t="shared" si="71"/>
        <v>0</v>
      </c>
      <c r="G804" s="1">
        <f t="shared" si="72"/>
        <v>2872</v>
      </c>
    </row>
    <row r="805" spans="1:7" x14ac:dyDescent="0.25">
      <c r="A805" s="1">
        <v>804</v>
      </c>
      <c r="B805">
        <v>0.17810543125824196</v>
      </c>
      <c r="C805" s="1">
        <f t="shared" si="68"/>
        <v>166</v>
      </c>
      <c r="D805" s="1">
        <f t="shared" si="69"/>
        <v>335</v>
      </c>
      <c r="E805" s="1">
        <f t="shared" si="70"/>
        <v>335</v>
      </c>
      <c r="F805" s="1">
        <f t="shared" si="71"/>
        <v>65</v>
      </c>
      <c r="G805" s="1">
        <f t="shared" si="72"/>
        <v>2381.9</v>
      </c>
    </row>
    <row r="806" spans="1:7" x14ac:dyDescent="0.25">
      <c r="A806" s="1">
        <v>805</v>
      </c>
      <c r="B806">
        <v>8.6249297457299701E-2</v>
      </c>
      <c r="C806" s="1">
        <f t="shared" si="68"/>
        <v>184</v>
      </c>
      <c r="D806" s="1">
        <f t="shared" si="69"/>
        <v>317</v>
      </c>
      <c r="E806" s="1">
        <f t="shared" si="70"/>
        <v>317</v>
      </c>
      <c r="F806" s="1">
        <f t="shared" si="71"/>
        <v>83</v>
      </c>
      <c r="G806" s="1">
        <f t="shared" si="72"/>
        <v>2246.1799999999998</v>
      </c>
    </row>
    <row r="807" spans="1:7" x14ac:dyDescent="0.25">
      <c r="A807" s="1">
        <v>806</v>
      </c>
      <c r="B807">
        <v>3.6230447808228705E-2</v>
      </c>
      <c r="C807" s="1">
        <f t="shared" si="68"/>
        <v>194</v>
      </c>
      <c r="D807" s="1">
        <f t="shared" si="69"/>
        <v>307</v>
      </c>
      <c r="E807" s="1">
        <f t="shared" si="70"/>
        <v>307</v>
      </c>
      <c r="F807" s="1">
        <f t="shared" si="71"/>
        <v>93</v>
      </c>
      <c r="G807" s="1">
        <f t="shared" si="72"/>
        <v>2170.7800000000002</v>
      </c>
    </row>
    <row r="808" spans="1:7" x14ac:dyDescent="0.25">
      <c r="A808" s="1">
        <v>807</v>
      </c>
      <c r="B808">
        <v>0.76462471218111949</v>
      </c>
      <c r="C808" s="1">
        <f t="shared" si="68"/>
        <v>48</v>
      </c>
      <c r="D808" s="1">
        <f t="shared" si="69"/>
        <v>453</v>
      </c>
      <c r="E808" s="1">
        <f t="shared" si="70"/>
        <v>400</v>
      </c>
      <c r="F808" s="1">
        <f t="shared" si="71"/>
        <v>0</v>
      </c>
      <c r="G808" s="1">
        <f t="shared" si="72"/>
        <v>2872</v>
      </c>
    </row>
    <row r="809" spans="1:7" x14ac:dyDescent="0.25">
      <c r="A809" s="1">
        <v>808</v>
      </c>
      <c r="B809">
        <v>0.69560797771611682</v>
      </c>
      <c r="C809" s="1">
        <f t="shared" si="68"/>
        <v>62</v>
      </c>
      <c r="D809" s="1">
        <f t="shared" si="69"/>
        <v>439</v>
      </c>
      <c r="E809" s="1">
        <f t="shared" si="70"/>
        <v>400</v>
      </c>
      <c r="F809" s="1">
        <f t="shared" si="71"/>
        <v>0</v>
      </c>
      <c r="G809" s="1">
        <f t="shared" si="72"/>
        <v>2872</v>
      </c>
    </row>
    <row r="810" spans="1:7" x14ac:dyDescent="0.25">
      <c r="A810" s="1">
        <v>809</v>
      </c>
      <c r="B810">
        <v>0.48469640355188881</v>
      </c>
      <c r="C810" s="1">
        <f t="shared" si="68"/>
        <v>104</v>
      </c>
      <c r="D810" s="1">
        <f t="shared" si="69"/>
        <v>397</v>
      </c>
      <c r="E810" s="1">
        <f t="shared" si="70"/>
        <v>397</v>
      </c>
      <c r="F810" s="1">
        <f t="shared" si="71"/>
        <v>3</v>
      </c>
      <c r="G810" s="1">
        <f t="shared" si="72"/>
        <v>2849.38</v>
      </c>
    </row>
    <row r="811" spans="1:7" x14ac:dyDescent="0.25">
      <c r="A811" s="1">
        <v>810</v>
      </c>
      <c r="B811">
        <v>0.52684673729631837</v>
      </c>
      <c r="C811" s="1">
        <f t="shared" si="68"/>
        <v>96</v>
      </c>
      <c r="D811" s="1">
        <f t="shared" si="69"/>
        <v>405</v>
      </c>
      <c r="E811" s="1">
        <f t="shared" si="70"/>
        <v>400</v>
      </c>
      <c r="F811" s="1">
        <f t="shared" si="71"/>
        <v>0</v>
      </c>
      <c r="G811" s="1">
        <f t="shared" si="72"/>
        <v>2872</v>
      </c>
    </row>
    <row r="812" spans="1:7" x14ac:dyDescent="0.25">
      <c r="A812" s="1">
        <v>811</v>
      </c>
      <c r="B812">
        <v>0.66058385523645102</v>
      </c>
      <c r="C812" s="1">
        <f t="shared" si="68"/>
        <v>69</v>
      </c>
      <c r="D812" s="1">
        <f t="shared" si="69"/>
        <v>432</v>
      </c>
      <c r="E812" s="1">
        <f t="shared" si="70"/>
        <v>400</v>
      </c>
      <c r="F812" s="1">
        <f t="shared" si="71"/>
        <v>0</v>
      </c>
      <c r="G812" s="1">
        <f t="shared" si="72"/>
        <v>2872</v>
      </c>
    </row>
    <row r="813" spans="1:7" x14ac:dyDescent="0.25">
      <c r="A813" s="1">
        <v>812</v>
      </c>
      <c r="B813">
        <v>1.4884677742935115E-2</v>
      </c>
      <c r="C813" s="1">
        <f t="shared" si="68"/>
        <v>199</v>
      </c>
      <c r="D813" s="1">
        <f t="shared" si="69"/>
        <v>302</v>
      </c>
      <c r="E813" s="1">
        <f t="shared" si="70"/>
        <v>302</v>
      </c>
      <c r="F813" s="1">
        <f t="shared" si="71"/>
        <v>98</v>
      </c>
      <c r="G813" s="1">
        <f t="shared" si="72"/>
        <v>2133.08</v>
      </c>
    </row>
    <row r="814" spans="1:7" x14ac:dyDescent="0.25">
      <c r="A814" s="1">
        <v>813</v>
      </c>
      <c r="B814">
        <v>0.86951261694826987</v>
      </c>
      <c r="C814" s="1">
        <f t="shared" si="68"/>
        <v>27</v>
      </c>
      <c r="D814" s="1">
        <f t="shared" si="69"/>
        <v>474</v>
      </c>
      <c r="E814" s="1">
        <f t="shared" si="70"/>
        <v>400</v>
      </c>
      <c r="F814" s="1">
        <f t="shared" si="71"/>
        <v>0</v>
      </c>
      <c r="G814" s="1">
        <f t="shared" si="72"/>
        <v>2872</v>
      </c>
    </row>
    <row r="815" spans="1:7" x14ac:dyDescent="0.25">
      <c r="A815" s="1">
        <v>814</v>
      </c>
      <c r="B815">
        <v>0.52458976056941597</v>
      </c>
      <c r="C815" s="1">
        <f t="shared" si="68"/>
        <v>96</v>
      </c>
      <c r="D815" s="1">
        <f t="shared" si="69"/>
        <v>405</v>
      </c>
      <c r="E815" s="1">
        <f t="shared" si="70"/>
        <v>400</v>
      </c>
      <c r="F815" s="1">
        <f t="shared" si="71"/>
        <v>0</v>
      </c>
      <c r="G815" s="1">
        <f t="shared" si="72"/>
        <v>2872</v>
      </c>
    </row>
    <row r="816" spans="1:7" x14ac:dyDescent="0.25">
      <c r="A816" s="1">
        <v>815</v>
      </c>
      <c r="B816">
        <v>0.54149017869701621</v>
      </c>
      <c r="C816" s="1">
        <f t="shared" si="68"/>
        <v>93</v>
      </c>
      <c r="D816" s="1">
        <f t="shared" si="69"/>
        <v>408</v>
      </c>
      <c r="E816" s="1">
        <f t="shared" si="70"/>
        <v>400</v>
      </c>
      <c r="F816" s="1">
        <f t="shared" si="71"/>
        <v>0</v>
      </c>
      <c r="G816" s="1">
        <f t="shared" si="72"/>
        <v>2872</v>
      </c>
    </row>
    <row r="817" spans="1:7" x14ac:dyDescent="0.25">
      <c r="A817" s="1">
        <v>816</v>
      </c>
      <c r="B817">
        <v>0.33833340265368961</v>
      </c>
      <c r="C817" s="1">
        <f t="shared" si="68"/>
        <v>133</v>
      </c>
      <c r="D817" s="1">
        <f t="shared" si="69"/>
        <v>368</v>
      </c>
      <c r="E817" s="1">
        <f t="shared" si="70"/>
        <v>368</v>
      </c>
      <c r="F817" s="1">
        <f t="shared" si="71"/>
        <v>32</v>
      </c>
      <c r="G817" s="1">
        <f t="shared" si="72"/>
        <v>2630.72</v>
      </c>
    </row>
    <row r="818" spans="1:7" x14ac:dyDescent="0.25">
      <c r="A818" s="1">
        <v>817</v>
      </c>
      <c r="B818">
        <v>0.8375095208306238</v>
      </c>
      <c r="C818" s="1">
        <f t="shared" si="68"/>
        <v>33</v>
      </c>
      <c r="D818" s="1">
        <f t="shared" si="69"/>
        <v>468</v>
      </c>
      <c r="E818" s="1">
        <f t="shared" si="70"/>
        <v>400</v>
      </c>
      <c r="F818" s="1">
        <f t="shared" si="71"/>
        <v>0</v>
      </c>
      <c r="G818" s="1">
        <f t="shared" si="72"/>
        <v>2872</v>
      </c>
    </row>
    <row r="819" spans="1:7" x14ac:dyDescent="0.25">
      <c r="A819" s="1">
        <v>818</v>
      </c>
      <c r="B819">
        <v>0.61253793813308399</v>
      </c>
      <c r="C819" s="1">
        <f t="shared" si="68"/>
        <v>78</v>
      </c>
      <c r="D819" s="1">
        <f t="shared" si="69"/>
        <v>423</v>
      </c>
      <c r="E819" s="1">
        <f t="shared" si="70"/>
        <v>400</v>
      </c>
      <c r="F819" s="1">
        <f t="shared" si="71"/>
        <v>0</v>
      </c>
      <c r="G819" s="1">
        <f t="shared" si="72"/>
        <v>2872</v>
      </c>
    </row>
    <row r="820" spans="1:7" x14ac:dyDescent="0.25">
      <c r="A820" s="1">
        <v>819</v>
      </c>
      <c r="B820">
        <v>0.44603675618079408</v>
      </c>
      <c r="C820" s="1">
        <f t="shared" si="68"/>
        <v>112</v>
      </c>
      <c r="D820" s="1">
        <f t="shared" si="69"/>
        <v>389</v>
      </c>
      <c r="E820" s="1">
        <f t="shared" si="70"/>
        <v>389</v>
      </c>
      <c r="F820" s="1">
        <f t="shared" si="71"/>
        <v>11</v>
      </c>
      <c r="G820" s="1">
        <f t="shared" si="72"/>
        <v>2789.06</v>
      </c>
    </row>
    <row r="821" spans="1:7" x14ac:dyDescent="0.25">
      <c r="A821" s="1">
        <v>820</v>
      </c>
      <c r="B821">
        <v>0.10069957253830908</v>
      </c>
      <c r="C821" s="1">
        <f t="shared" si="68"/>
        <v>181</v>
      </c>
      <c r="D821" s="1">
        <f t="shared" si="69"/>
        <v>320</v>
      </c>
      <c r="E821" s="1">
        <f t="shared" si="70"/>
        <v>320</v>
      </c>
      <c r="F821" s="1">
        <f t="shared" si="71"/>
        <v>80</v>
      </c>
      <c r="G821" s="1">
        <f t="shared" si="72"/>
        <v>2268.8000000000002</v>
      </c>
    </row>
    <row r="822" spans="1:7" x14ac:dyDescent="0.25">
      <c r="A822" s="1">
        <v>821</v>
      </c>
      <c r="B822">
        <v>0.51904271152918668</v>
      </c>
      <c r="C822" s="1">
        <f t="shared" si="68"/>
        <v>97</v>
      </c>
      <c r="D822" s="1">
        <f t="shared" si="69"/>
        <v>404</v>
      </c>
      <c r="E822" s="1">
        <f t="shared" si="70"/>
        <v>400</v>
      </c>
      <c r="F822" s="1">
        <f t="shared" si="71"/>
        <v>0</v>
      </c>
      <c r="G822" s="1">
        <f t="shared" si="72"/>
        <v>2872</v>
      </c>
    </row>
    <row r="823" spans="1:7" x14ac:dyDescent="0.25">
      <c r="A823" s="1">
        <v>822</v>
      </c>
      <c r="B823">
        <v>0.16630095186486515</v>
      </c>
      <c r="C823" s="1">
        <f t="shared" si="68"/>
        <v>168</v>
      </c>
      <c r="D823" s="1">
        <f t="shared" si="69"/>
        <v>333</v>
      </c>
      <c r="E823" s="1">
        <f t="shared" si="70"/>
        <v>333</v>
      </c>
      <c r="F823" s="1">
        <f t="shared" si="71"/>
        <v>67</v>
      </c>
      <c r="G823" s="1">
        <f t="shared" si="72"/>
        <v>2366.8200000000002</v>
      </c>
    </row>
    <row r="824" spans="1:7" x14ac:dyDescent="0.25">
      <c r="A824" s="1">
        <v>823</v>
      </c>
      <c r="B824">
        <v>0.8120112428020827</v>
      </c>
      <c r="C824" s="1">
        <f t="shared" si="68"/>
        <v>38</v>
      </c>
      <c r="D824" s="1">
        <f t="shared" si="69"/>
        <v>463</v>
      </c>
      <c r="E824" s="1">
        <f t="shared" si="70"/>
        <v>400</v>
      </c>
      <c r="F824" s="1">
        <f t="shared" si="71"/>
        <v>0</v>
      </c>
      <c r="G824" s="1">
        <f t="shared" si="72"/>
        <v>2872</v>
      </c>
    </row>
    <row r="825" spans="1:7" x14ac:dyDescent="0.25">
      <c r="A825" s="1">
        <v>824</v>
      </c>
      <c r="B825">
        <v>0.86031485991474932</v>
      </c>
      <c r="C825" s="1">
        <f t="shared" si="68"/>
        <v>29</v>
      </c>
      <c r="D825" s="1">
        <f t="shared" si="69"/>
        <v>472</v>
      </c>
      <c r="E825" s="1">
        <f t="shared" si="70"/>
        <v>400</v>
      </c>
      <c r="F825" s="1">
        <f t="shared" si="71"/>
        <v>0</v>
      </c>
      <c r="G825" s="1">
        <f t="shared" si="72"/>
        <v>2872</v>
      </c>
    </row>
    <row r="826" spans="1:7" x14ac:dyDescent="0.25">
      <c r="A826" s="1">
        <v>825</v>
      </c>
      <c r="B826">
        <v>0.16342762966471647</v>
      </c>
      <c r="C826" s="1">
        <f t="shared" si="68"/>
        <v>169</v>
      </c>
      <c r="D826" s="1">
        <f t="shared" si="69"/>
        <v>332</v>
      </c>
      <c r="E826" s="1">
        <f t="shared" si="70"/>
        <v>332</v>
      </c>
      <c r="F826" s="1">
        <f t="shared" si="71"/>
        <v>68</v>
      </c>
      <c r="G826" s="1">
        <f t="shared" si="72"/>
        <v>2359.2800000000002</v>
      </c>
    </row>
    <row r="827" spans="1:7" x14ac:dyDescent="0.25">
      <c r="A827" s="1">
        <v>826</v>
      </c>
      <c r="B827">
        <v>0.4832349884275684</v>
      </c>
      <c r="C827" s="1">
        <f t="shared" si="68"/>
        <v>104</v>
      </c>
      <c r="D827" s="1">
        <f t="shared" si="69"/>
        <v>397</v>
      </c>
      <c r="E827" s="1">
        <f t="shared" si="70"/>
        <v>397</v>
      </c>
      <c r="F827" s="1">
        <f t="shared" si="71"/>
        <v>3</v>
      </c>
      <c r="G827" s="1">
        <f t="shared" si="72"/>
        <v>2849.38</v>
      </c>
    </row>
    <row r="828" spans="1:7" x14ac:dyDescent="0.25">
      <c r="A828" s="1">
        <v>827</v>
      </c>
      <c r="B828">
        <v>0.44542175991284394</v>
      </c>
      <c r="C828" s="1">
        <f t="shared" si="68"/>
        <v>112</v>
      </c>
      <c r="D828" s="1">
        <f t="shared" si="69"/>
        <v>389</v>
      </c>
      <c r="E828" s="1">
        <f t="shared" si="70"/>
        <v>389</v>
      </c>
      <c r="F828" s="1">
        <f t="shared" si="71"/>
        <v>11</v>
      </c>
      <c r="G828" s="1">
        <f t="shared" si="72"/>
        <v>2789.06</v>
      </c>
    </row>
    <row r="829" spans="1:7" x14ac:dyDescent="0.25">
      <c r="A829" s="1">
        <v>828</v>
      </c>
      <c r="B829">
        <v>0.93938445268246695</v>
      </c>
      <c r="C829" s="1">
        <f t="shared" si="68"/>
        <v>13</v>
      </c>
      <c r="D829" s="1">
        <f t="shared" si="69"/>
        <v>488</v>
      </c>
      <c r="E829" s="1">
        <f t="shared" si="70"/>
        <v>400</v>
      </c>
      <c r="F829" s="1">
        <f t="shared" si="71"/>
        <v>0</v>
      </c>
      <c r="G829" s="1">
        <f t="shared" si="72"/>
        <v>2872</v>
      </c>
    </row>
    <row r="830" spans="1:7" x14ac:dyDescent="0.25">
      <c r="A830" s="1">
        <v>829</v>
      </c>
      <c r="B830">
        <v>0.97829477752100447</v>
      </c>
      <c r="C830" s="1">
        <f t="shared" si="68"/>
        <v>5</v>
      </c>
      <c r="D830" s="1">
        <f t="shared" si="69"/>
        <v>496</v>
      </c>
      <c r="E830" s="1">
        <f t="shared" si="70"/>
        <v>400</v>
      </c>
      <c r="F830" s="1">
        <f t="shared" si="71"/>
        <v>0</v>
      </c>
      <c r="G830" s="1">
        <f t="shared" si="72"/>
        <v>2872</v>
      </c>
    </row>
    <row r="831" spans="1:7" x14ac:dyDescent="0.25">
      <c r="A831" s="1">
        <v>830</v>
      </c>
      <c r="B831">
        <v>0.70962536326859615</v>
      </c>
      <c r="C831" s="1">
        <f t="shared" si="68"/>
        <v>59</v>
      </c>
      <c r="D831" s="1">
        <f t="shared" si="69"/>
        <v>442</v>
      </c>
      <c r="E831" s="1">
        <f t="shared" si="70"/>
        <v>400</v>
      </c>
      <c r="F831" s="1">
        <f t="shared" si="71"/>
        <v>0</v>
      </c>
      <c r="G831" s="1">
        <f t="shared" si="72"/>
        <v>2872</v>
      </c>
    </row>
    <row r="832" spans="1:7" x14ac:dyDescent="0.25">
      <c r="A832" s="1">
        <v>831</v>
      </c>
      <c r="B832">
        <v>0.76070709416651328</v>
      </c>
      <c r="C832" s="1">
        <f t="shared" si="68"/>
        <v>49</v>
      </c>
      <c r="D832" s="1">
        <f t="shared" si="69"/>
        <v>452</v>
      </c>
      <c r="E832" s="1">
        <f t="shared" si="70"/>
        <v>400</v>
      </c>
      <c r="F832" s="1">
        <f t="shared" si="71"/>
        <v>0</v>
      </c>
      <c r="G832" s="1">
        <f t="shared" si="72"/>
        <v>2872</v>
      </c>
    </row>
    <row r="833" spans="1:7" x14ac:dyDescent="0.25">
      <c r="A833" s="1">
        <v>832</v>
      </c>
      <c r="B833">
        <v>0.40413991934588267</v>
      </c>
      <c r="C833" s="1">
        <f t="shared" si="68"/>
        <v>120</v>
      </c>
      <c r="D833" s="1">
        <f t="shared" si="69"/>
        <v>381</v>
      </c>
      <c r="E833" s="1">
        <f t="shared" si="70"/>
        <v>381</v>
      </c>
      <c r="F833" s="1">
        <f t="shared" si="71"/>
        <v>19</v>
      </c>
      <c r="G833" s="1">
        <f t="shared" si="72"/>
        <v>2728.74</v>
      </c>
    </row>
    <row r="834" spans="1:7" x14ac:dyDescent="0.25">
      <c r="A834" s="1">
        <v>833</v>
      </c>
      <c r="B834">
        <v>8.5394995936850959E-2</v>
      </c>
      <c r="C834" s="1">
        <f t="shared" ref="C834:C897" si="73">MATCH(B834,$N$2:$N$202,-1)</f>
        <v>184</v>
      </c>
      <c r="D834" s="1">
        <f t="shared" ref="D834:D897" si="74">INDEX($L$2:$L$202,C834)</f>
        <v>317</v>
      </c>
      <c r="E834" s="1">
        <f t="shared" si="70"/>
        <v>317</v>
      </c>
      <c r="F834" s="1">
        <f t="shared" si="71"/>
        <v>83</v>
      </c>
      <c r="G834" s="1">
        <f t="shared" si="72"/>
        <v>2246.1799999999998</v>
      </c>
    </row>
    <row r="835" spans="1:7" x14ac:dyDescent="0.25">
      <c r="A835" s="1">
        <v>834</v>
      </c>
      <c r="B835">
        <v>0.42285800601024759</v>
      </c>
      <c r="C835" s="1">
        <f t="shared" si="73"/>
        <v>117</v>
      </c>
      <c r="D835" s="1">
        <f t="shared" si="74"/>
        <v>384</v>
      </c>
      <c r="E835" s="1">
        <f t="shared" ref="E835:E898" si="75">MIN(D835,$I$2)</f>
        <v>384</v>
      </c>
      <c r="F835" s="1">
        <f t="shared" ref="F835:F898" si="76">$I$2-E835</f>
        <v>16</v>
      </c>
      <c r="G835" s="1">
        <f t="shared" ref="G835:G898" si="77">7.5*E835-$I$2/25*8-F835/25*1</f>
        <v>2751.36</v>
      </c>
    </row>
    <row r="836" spans="1:7" x14ac:dyDescent="0.25">
      <c r="A836" s="1">
        <v>835</v>
      </c>
      <c r="B836">
        <v>0.19009061308870023</v>
      </c>
      <c r="C836" s="1">
        <f t="shared" si="73"/>
        <v>163</v>
      </c>
      <c r="D836" s="1">
        <f t="shared" si="74"/>
        <v>338</v>
      </c>
      <c r="E836" s="1">
        <f t="shared" si="75"/>
        <v>338</v>
      </c>
      <c r="F836" s="1">
        <f t="shared" si="76"/>
        <v>62</v>
      </c>
      <c r="G836" s="1">
        <f t="shared" si="77"/>
        <v>2404.52</v>
      </c>
    </row>
    <row r="837" spans="1:7" x14ac:dyDescent="0.25">
      <c r="A837" s="1">
        <v>836</v>
      </c>
      <c r="B837">
        <v>0.40726145247136691</v>
      </c>
      <c r="C837" s="1">
        <f t="shared" si="73"/>
        <v>120</v>
      </c>
      <c r="D837" s="1">
        <f t="shared" si="74"/>
        <v>381</v>
      </c>
      <c r="E837" s="1">
        <f t="shared" si="75"/>
        <v>381</v>
      </c>
      <c r="F837" s="1">
        <f t="shared" si="76"/>
        <v>19</v>
      </c>
      <c r="G837" s="1">
        <f t="shared" si="77"/>
        <v>2728.74</v>
      </c>
    </row>
    <row r="838" spans="1:7" x14ac:dyDescent="0.25">
      <c r="A838" s="1">
        <v>837</v>
      </c>
      <c r="B838">
        <v>0.81045547166880072</v>
      </c>
      <c r="C838" s="1">
        <f t="shared" si="73"/>
        <v>39</v>
      </c>
      <c r="D838" s="1">
        <f t="shared" si="74"/>
        <v>462</v>
      </c>
      <c r="E838" s="1">
        <f t="shared" si="75"/>
        <v>400</v>
      </c>
      <c r="F838" s="1">
        <f t="shared" si="76"/>
        <v>0</v>
      </c>
      <c r="G838" s="1">
        <f t="shared" si="77"/>
        <v>2872</v>
      </c>
    </row>
    <row r="839" spans="1:7" x14ac:dyDescent="0.25">
      <c r="A839" s="1">
        <v>838</v>
      </c>
      <c r="B839">
        <v>0.61089374576669198</v>
      </c>
      <c r="C839" s="1">
        <f t="shared" si="73"/>
        <v>79</v>
      </c>
      <c r="D839" s="1">
        <f t="shared" si="74"/>
        <v>422</v>
      </c>
      <c r="E839" s="1">
        <f t="shared" si="75"/>
        <v>400</v>
      </c>
      <c r="F839" s="1">
        <f t="shared" si="76"/>
        <v>0</v>
      </c>
      <c r="G839" s="1">
        <f t="shared" si="77"/>
        <v>2872</v>
      </c>
    </row>
    <row r="840" spans="1:7" x14ac:dyDescent="0.25">
      <c r="A840" s="1">
        <v>839</v>
      </c>
      <c r="B840">
        <v>0.38748331925111834</v>
      </c>
      <c r="C840" s="1">
        <f t="shared" si="73"/>
        <v>124</v>
      </c>
      <c r="D840" s="1">
        <f t="shared" si="74"/>
        <v>377</v>
      </c>
      <c r="E840" s="1">
        <f t="shared" si="75"/>
        <v>377</v>
      </c>
      <c r="F840" s="1">
        <f t="shared" si="76"/>
        <v>23</v>
      </c>
      <c r="G840" s="1">
        <f t="shared" si="77"/>
        <v>2698.58</v>
      </c>
    </row>
    <row r="841" spans="1:7" x14ac:dyDescent="0.25">
      <c r="A841" s="1">
        <v>840</v>
      </c>
      <c r="B841">
        <v>0.74404400370470836</v>
      </c>
      <c r="C841" s="1">
        <f t="shared" si="73"/>
        <v>52</v>
      </c>
      <c r="D841" s="1">
        <f t="shared" si="74"/>
        <v>449</v>
      </c>
      <c r="E841" s="1">
        <f t="shared" si="75"/>
        <v>400</v>
      </c>
      <c r="F841" s="1">
        <f t="shared" si="76"/>
        <v>0</v>
      </c>
      <c r="G841" s="1">
        <f t="shared" si="77"/>
        <v>2872</v>
      </c>
    </row>
    <row r="842" spans="1:7" x14ac:dyDescent="0.25">
      <c r="A842" s="1">
        <v>841</v>
      </c>
      <c r="B842">
        <v>0.78639566610773737</v>
      </c>
      <c r="C842" s="1">
        <f t="shared" si="73"/>
        <v>43</v>
      </c>
      <c r="D842" s="1">
        <f t="shared" si="74"/>
        <v>458</v>
      </c>
      <c r="E842" s="1">
        <f t="shared" si="75"/>
        <v>400</v>
      </c>
      <c r="F842" s="1">
        <f t="shared" si="76"/>
        <v>0</v>
      </c>
      <c r="G842" s="1">
        <f t="shared" si="77"/>
        <v>2872</v>
      </c>
    </row>
    <row r="843" spans="1:7" x14ac:dyDescent="0.25">
      <c r="A843" s="1">
        <v>842</v>
      </c>
      <c r="B843">
        <v>0.3312233184203176</v>
      </c>
      <c r="C843" s="1">
        <f t="shared" si="73"/>
        <v>135</v>
      </c>
      <c r="D843" s="1">
        <f t="shared" si="74"/>
        <v>366</v>
      </c>
      <c r="E843" s="1">
        <f t="shared" si="75"/>
        <v>366</v>
      </c>
      <c r="F843" s="1">
        <f t="shared" si="76"/>
        <v>34</v>
      </c>
      <c r="G843" s="1">
        <f t="shared" si="77"/>
        <v>2615.64</v>
      </c>
    </row>
    <row r="844" spans="1:7" x14ac:dyDescent="0.25">
      <c r="A844" s="1">
        <v>843</v>
      </c>
      <c r="B844">
        <v>0.91907875061848565</v>
      </c>
      <c r="C844" s="1">
        <f t="shared" si="73"/>
        <v>17</v>
      </c>
      <c r="D844" s="1">
        <f t="shared" si="74"/>
        <v>484</v>
      </c>
      <c r="E844" s="1">
        <f t="shared" si="75"/>
        <v>400</v>
      </c>
      <c r="F844" s="1">
        <f t="shared" si="76"/>
        <v>0</v>
      </c>
      <c r="G844" s="1">
        <f t="shared" si="77"/>
        <v>2872</v>
      </c>
    </row>
    <row r="845" spans="1:7" x14ac:dyDescent="0.25">
      <c r="A845" s="1">
        <v>844</v>
      </c>
      <c r="B845">
        <v>0.16267144490332652</v>
      </c>
      <c r="C845" s="1">
        <f t="shared" si="73"/>
        <v>169</v>
      </c>
      <c r="D845" s="1">
        <f t="shared" si="74"/>
        <v>332</v>
      </c>
      <c r="E845" s="1">
        <f t="shared" si="75"/>
        <v>332</v>
      </c>
      <c r="F845" s="1">
        <f t="shared" si="76"/>
        <v>68</v>
      </c>
      <c r="G845" s="1">
        <f t="shared" si="77"/>
        <v>2359.2800000000002</v>
      </c>
    </row>
    <row r="846" spans="1:7" x14ac:dyDescent="0.25">
      <c r="A846" s="1">
        <v>845</v>
      </c>
      <c r="B846">
        <v>0.24198437564316899</v>
      </c>
      <c r="C846" s="1">
        <f t="shared" si="73"/>
        <v>153</v>
      </c>
      <c r="D846" s="1">
        <f t="shared" si="74"/>
        <v>348</v>
      </c>
      <c r="E846" s="1">
        <f t="shared" si="75"/>
        <v>348</v>
      </c>
      <c r="F846" s="1">
        <f t="shared" si="76"/>
        <v>52</v>
      </c>
      <c r="G846" s="1">
        <f t="shared" si="77"/>
        <v>2479.92</v>
      </c>
    </row>
    <row r="847" spans="1:7" x14ac:dyDescent="0.25">
      <c r="A847" s="1">
        <v>846</v>
      </c>
      <c r="B847">
        <v>0.81558555463649329</v>
      </c>
      <c r="C847" s="1">
        <f t="shared" si="73"/>
        <v>38</v>
      </c>
      <c r="D847" s="1">
        <f t="shared" si="74"/>
        <v>463</v>
      </c>
      <c r="E847" s="1">
        <f t="shared" si="75"/>
        <v>400</v>
      </c>
      <c r="F847" s="1">
        <f t="shared" si="76"/>
        <v>0</v>
      </c>
      <c r="G847" s="1">
        <f t="shared" si="77"/>
        <v>2872</v>
      </c>
    </row>
    <row r="848" spans="1:7" x14ac:dyDescent="0.25">
      <c r="A848" s="1">
        <v>847</v>
      </c>
      <c r="B848">
        <v>0.9261206910076033</v>
      </c>
      <c r="C848" s="1">
        <f t="shared" si="73"/>
        <v>15</v>
      </c>
      <c r="D848" s="1">
        <f t="shared" si="74"/>
        <v>486</v>
      </c>
      <c r="E848" s="1">
        <f t="shared" si="75"/>
        <v>400</v>
      </c>
      <c r="F848" s="1">
        <f t="shared" si="76"/>
        <v>0</v>
      </c>
      <c r="G848" s="1">
        <f t="shared" si="77"/>
        <v>2872</v>
      </c>
    </row>
    <row r="849" spans="1:7" x14ac:dyDescent="0.25">
      <c r="A849" s="1">
        <v>848</v>
      </c>
      <c r="B849">
        <v>0.84302144393973233</v>
      </c>
      <c r="C849" s="1">
        <f t="shared" si="73"/>
        <v>32</v>
      </c>
      <c r="D849" s="1">
        <f t="shared" si="74"/>
        <v>469</v>
      </c>
      <c r="E849" s="1">
        <f t="shared" si="75"/>
        <v>400</v>
      </c>
      <c r="F849" s="1">
        <f t="shared" si="76"/>
        <v>0</v>
      </c>
      <c r="G849" s="1">
        <f t="shared" si="77"/>
        <v>2872</v>
      </c>
    </row>
    <row r="850" spans="1:7" x14ac:dyDescent="0.25">
      <c r="A850" s="1">
        <v>849</v>
      </c>
      <c r="B850">
        <v>0.45972798323247865</v>
      </c>
      <c r="C850" s="1">
        <f t="shared" si="73"/>
        <v>109</v>
      </c>
      <c r="D850" s="1">
        <f t="shared" si="74"/>
        <v>392</v>
      </c>
      <c r="E850" s="1">
        <f t="shared" si="75"/>
        <v>392</v>
      </c>
      <c r="F850" s="1">
        <f t="shared" si="76"/>
        <v>8</v>
      </c>
      <c r="G850" s="1">
        <f t="shared" si="77"/>
        <v>2811.68</v>
      </c>
    </row>
    <row r="851" spans="1:7" x14ac:dyDescent="0.25">
      <c r="A851" s="1">
        <v>850</v>
      </c>
      <c r="B851">
        <v>0.82816143898837091</v>
      </c>
      <c r="C851" s="1">
        <f t="shared" si="73"/>
        <v>35</v>
      </c>
      <c r="D851" s="1">
        <f t="shared" si="74"/>
        <v>466</v>
      </c>
      <c r="E851" s="1">
        <f t="shared" si="75"/>
        <v>400</v>
      </c>
      <c r="F851" s="1">
        <f t="shared" si="76"/>
        <v>0</v>
      </c>
      <c r="G851" s="1">
        <f t="shared" si="77"/>
        <v>2872</v>
      </c>
    </row>
    <row r="852" spans="1:7" x14ac:dyDescent="0.25">
      <c r="A852" s="1">
        <v>851</v>
      </c>
      <c r="B852">
        <v>0.23221742917495092</v>
      </c>
      <c r="C852" s="1">
        <f t="shared" si="73"/>
        <v>155</v>
      </c>
      <c r="D852" s="1">
        <f t="shared" si="74"/>
        <v>346</v>
      </c>
      <c r="E852" s="1">
        <f t="shared" si="75"/>
        <v>346</v>
      </c>
      <c r="F852" s="1">
        <f t="shared" si="76"/>
        <v>54</v>
      </c>
      <c r="G852" s="1">
        <f t="shared" si="77"/>
        <v>2464.84</v>
      </c>
    </row>
    <row r="853" spans="1:7" x14ac:dyDescent="0.25">
      <c r="A853" s="1">
        <v>852</v>
      </c>
      <c r="B853">
        <v>0.48960127720100788</v>
      </c>
      <c r="C853" s="1">
        <f t="shared" si="73"/>
        <v>103</v>
      </c>
      <c r="D853" s="1">
        <f t="shared" si="74"/>
        <v>398</v>
      </c>
      <c r="E853" s="1">
        <f t="shared" si="75"/>
        <v>398</v>
      </c>
      <c r="F853" s="1">
        <f t="shared" si="76"/>
        <v>2</v>
      </c>
      <c r="G853" s="1">
        <f t="shared" si="77"/>
        <v>2856.92</v>
      </c>
    </row>
    <row r="854" spans="1:7" x14ac:dyDescent="0.25">
      <c r="A854" s="1">
        <v>853</v>
      </c>
      <c r="B854">
        <v>0.83111659357898082</v>
      </c>
      <c r="C854" s="1">
        <f t="shared" si="73"/>
        <v>34</v>
      </c>
      <c r="D854" s="1">
        <f t="shared" si="74"/>
        <v>467</v>
      </c>
      <c r="E854" s="1">
        <f t="shared" si="75"/>
        <v>400</v>
      </c>
      <c r="F854" s="1">
        <f t="shared" si="76"/>
        <v>0</v>
      </c>
      <c r="G854" s="1">
        <f t="shared" si="77"/>
        <v>2872</v>
      </c>
    </row>
    <row r="855" spans="1:7" x14ac:dyDescent="0.25">
      <c r="A855" s="1">
        <v>854</v>
      </c>
      <c r="B855">
        <v>0.5616056989930307</v>
      </c>
      <c r="C855" s="1">
        <f t="shared" si="73"/>
        <v>89</v>
      </c>
      <c r="D855" s="1">
        <f t="shared" si="74"/>
        <v>412</v>
      </c>
      <c r="E855" s="1">
        <f t="shared" si="75"/>
        <v>400</v>
      </c>
      <c r="F855" s="1">
        <f t="shared" si="76"/>
        <v>0</v>
      </c>
      <c r="G855" s="1">
        <f t="shared" si="77"/>
        <v>2872</v>
      </c>
    </row>
    <row r="856" spans="1:7" x14ac:dyDescent="0.25">
      <c r="A856" s="1">
        <v>855</v>
      </c>
      <c r="B856">
        <v>0.31646646804871115</v>
      </c>
      <c r="C856" s="1">
        <f t="shared" si="73"/>
        <v>138</v>
      </c>
      <c r="D856" s="1">
        <f t="shared" si="74"/>
        <v>363</v>
      </c>
      <c r="E856" s="1">
        <f t="shared" si="75"/>
        <v>363</v>
      </c>
      <c r="F856" s="1">
        <f t="shared" si="76"/>
        <v>37</v>
      </c>
      <c r="G856" s="1">
        <f t="shared" si="77"/>
        <v>2593.02</v>
      </c>
    </row>
    <row r="857" spans="1:7" x14ac:dyDescent="0.25">
      <c r="A857" s="1">
        <v>856</v>
      </c>
      <c r="B857">
        <v>0.9514002663444634</v>
      </c>
      <c r="C857" s="1">
        <f t="shared" si="73"/>
        <v>10</v>
      </c>
      <c r="D857" s="1">
        <f t="shared" si="74"/>
        <v>491</v>
      </c>
      <c r="E857" s="1">
        <f t="shared" si="75"/>
        <v>400</v>
      </c>
      <c r="F857" s="1">
        <f t="shared" si="76"/>
        <v>0</v>
      </c>
      <c r="G857" s="1">
        <f t="shared" si="77"/>
        <v>2872</v>
      </c>
    </row>
    <row r="858" spans="1:7" x14ac:dyDescent="0.25">
      <c r="A858" s="1">
        <v>857</v>
      </c>
      <c r="B858">
        <v>0.56497326187201324</v>
      </c>
      <c r="C858" s="1">
        <f t="shared" si="73"/>
        <v>88</v>
      </c>
      <c r="D858" s="1">
        <f t="shared" si="74"/>
        <v>413</v>
      </c>
      <c r="E858" s="1">
        <f t="shared" si="75"/>
        <v>400</v>
      </c>
      <c r="F858" s="1">
        <f t="shared" si="76"/>
        <v>0</v>
      </c>
      <c r="G858" s="1">
        <f t="shared" si="77"/>
        <v>2872</v>
      </c>
    </row>
    <row r="859" spans="1:7" x14ac:dyDescent="0.25">
      <c r="A859" s="1">
        <v>858</v>
      </c>
      <c r="B859">
        <v>0.34503842678643071</v>
      </c>
      <c r="C859" s="1">
        <f t="shared" si="73"/>
        <v>132</v>
      </c>
      <c r="D859" s="1">
        <f t="shared" si="74"/>
        <v>369</v>
      </c>
      <c r="E859" s="1">
        <f t="shared" si="75"/>
        <v>369</v>
      </c>
      <c r="F859" s="1">
        <f t="shared" si="76"/>
        <v>31</v>
      </c>
      <c r="G859" s="1">
        <f t="shared" si="77"/>
        <v>2638.26</v>
      </c>
    </row>
    <row r="860" spans="1:7" x14ac:dyDescent="0.25">
      <c r="A860" s="1">
        <v>859</v>
      </c>
      <c r="B860">
        <v>0.34934400009225475</v>
      </c>
      <c r="C860" s="1">
        <f t="shared" si="73"/>
        <v>131</v>
      </c>
      <c r="D860" s="1">
        <f t="shared" si="74"/>
        <v>370</v>
      </c>
      <c r="E860" s="1">
        <f t="shared" si="75"/>
        <v>370</v>
      </c>
      <c r="F860" s="1">
        <f t="shared" si="76"/>
        <v>30</v>
      </c>
      <c r="G860" s="1">
        <f t="shared" si="77"/>
        <v>2645.8</v>
      </c>
    </row>
    <row r="861" spans="1:7" x14ac:dyDescent="0.25">
      <c r="A861" s="1">
        <v>860</v>
      </c>
      <c r="B861">
        <v>0.4761497101356128</v>
      </c>
      <c r="C861" s="1">
        <f t="shared" si="73"/>
        <v>106</v>
      </c>
      <c r="D861" s="1">
        <f t="shared" si="74"/>
        <v>395</v>
      </c>
      <c r="E861" s="1">
        <f t="shared" si="75"/>
        <v>395</v>
      </c>
      <c r="F861" s="1">
        <f t="shared" si="76"/>
        <v>5</v>
      </c>
      <c r="G861" s="1">
        <f t="shared" si="77"/>
        <v>2834.3</v>
      </c>
    </row>
    <row r="862" spans="1:7" x14ac:dyDescent="0.25">
      <c r="A862" s="1">
        <v>861</v>
      </c>
      <c r="B862">
        <v>0.67989753906438521</v>
      </c>
      <c r="C862" s="1">
        <f t="shared" si="73"/>
        <v>65</v>
      </c>
      <c r="D862" s="1">
        <f t="shared" si="74"/>
        <v>436</v>
      </c>
      <c r="E862" s="1">
        <f t="shared" si="75"/>
        <v>400</v>
      </c>
      <c r="F862" s="1">
        <f t="shared" si="76"/>
        <v>0</v>
      </c>
      <c r="G862" s="1">
        <f t="shared" si="77"/>
        <v>2872</v>
      </c>
    </row>
    <row r="863" spans="1:7" x14ac:dyDescent="0.25">
      <c r="A863" s="1">
        <v>862</v>
      </c>
      <c r="B863">
        <v>5.4361067701972243E-2</v>
      </c>
      <c r="C863" s="1">
        <f t="shared" si="73"/>
        <v>191</v>
      </c>
      <c r="D863" s="1">
        <f t="shared" si="74"/>
        <v>310</v>
      </c>
      <c r="E863" s="1">
        <f t="shared" si="75"/>
        <v>310</v>
      </c>
      <c r="F863" s="1">
        <f t="shared" si="76"/>
        <v>90</v>
      </c>
      <c r="G863" s="1">
        <f t="shared" si="77"/>
        <v>2193.4</v>
      </c>
    </row>
    <row r="864" spans="1:7" x14ac:dyDescent="0.25">
      <c r="A864" s="1">
        <v>863</v>
      </c>
      <c r="B864">
        <v>0.55878589934819223</v>
      </c>
      <c r="C864" s="1">
        <f t="shared" si="73"/>
        <v>89</v>
      </c>
      <c r="D864" s="1">
        <f t="shared" si="74"/>
        <v>412</v>
      </c>
      <c r="E864" s="1">
        <f t="shared" si="75"/>
        <v>400</v>
      </c>
      <c r="F864" s="1">
        <f t="shared" si="76"/>
        <v>0</v>
      </c>
      <c r="G864" s="1">
        <f t="shared" si="77"/>
        <v>2872</v>
      </c>
    </row>
    <row r="865" spans="1:7" x14ac:dyDescent="0.25">
      <c r="A865" s="1">
        <v>864</v>
      </c>
      <c r="B865">
        <v>0.34856860174043269</v>
      </c>
      <c r="C865" s="1">
        <f t="shared" si="73"/>
        <v>131</v>
      </c>
      <c r="D865" s="1">
        <f t="shared" si="74"/>
        <v>370</v>
      </c>
      <c r="E865" s="1">
        <f t="shared" si="75"/>
        <v>370</v>
      </c>
      <c r="F865" s="1">
        <f t="shared" si="76"/>
        <v>30</v>
      </c>
      <c r="G865" s="1">
        <f t="shared" si="77"/>
        <v>2645.8</v>
      </c>
    </row>
    <row r="866" spans="1:7" x14ac:dyDescent="0.25">
      <c r="A866" s="1">
        <v>865</v>
      </c>
      <c r="B866">
        <v>0.23729719864989174</v>
      </c>
      <c r="C866" s="1">
        <f t="shared" si="73"/>
        <v>154</v>
      </c>
      <c r="D866" s="1">
        <f t="shared" si="74"/>
        <v>347</v>
      </c>
      <c r="E866" s="1">
        <f t="shared" si="75"/>
        <v>347</v>
      </c>
      <c r="F866" s="1">
        <f t="shared" si="76"/>
        <v>53</v>
      </c>
      <c r="G866" s="1">
        <f t="shared" si="77"/>
        <v>2472.38</v>
      </c>
    </row>
    <row r="867" spans="1:7" x14ac:dyDescent="0.25">
      <c r="A867" s="1">
        <v>866</v>
      </c>
      <c r="B867">
        <v>0.66413778981334914</v>
      </c>
      <c r="C867" s="1">
        <f t="shared" si="73"/>
        <v>68</v>
      </c>
      <c r="D867" s="1">
        <f t="shared" si="74"/>
        <v>433</v>
      </c>
      <c r="E867" s="1">
        <f t="shared" si="75"/>
        <v>400</v>
      </c>
      <c r="F867" s="1">
        <f t="shared" si="76"/>
        <v>0</v>
      </c>
      <c r="G867" s="1">
        <f t="shared" si="77"/>
        <v>2872</v>
      </c>
    </row>
    <row r="868" spans="1:7" x14ac:dyDescent="0.25">
      <c r="A868" s="1">
        <v>867</v>
      </c>
      <c r="B868">
        <v>0.36885757042909417</v>
      </c>
      <c r="C868" s="1">
        <f t="shared" si="73"/>
        <v>127</v>
      </c>
      <c r="D868" s="1">
        <f t="shared" si="74"/>
        <v>374</v>
      </c>
      <c r="E868" s="1">
        <f t="shared" si="75"/>
        <v>374</v>
      </c>
      <c r="F868" s="1">
        <f t="shared" si="76"/>
        <v>26</v>
      </c>
      <c r="G868" s="1">
        <f t="shared" si="77"/>
        <v>2675.96</v>
      </c>
    </row>
    <row r="869" spans="1:7" x14ac:dyDescent="0.25">
      <c r="A869" s="1">
        <v>868</v>
      </c>
      <c r="B869">
        <v>0.89222142650476199</v>
      </c>
      <c r="C869" s="1">
        <f t="shared" si="73"/>
        <v>22</v>
      </c>
      <c r="D869" s="1">
        <f t="shared" si="74"/>
        <v>479</v>
      </c>
      <c r="E869" s="1">
        <f t="shared" si="75"/>
        <v>400</v>
      </c>
      <c r="F869" s="1">
        <f t="shared" si="76"/>
        <v>0</v>
      </c>
      <c r="G869" s="1">
        <f t="shared" si="77"/>
        <v>2872</v>
      </c>
    </row>
    <row r="870" spans="1:7" x14ac:dyDescent="0.25">
      <c r="A870" s="1">
        <v>869</v>
      </c>
      <c r="B870">
        <v>0.42990871127602759</v>
      </c>
      <c r="C870" s="1">
        <f t="shared" si="73"/>
        <v>115</v>
      </c>
      <c r="D870" s="1">
        <f t="shared" si="74"/>
        <v>386</v>
      </c>
      <c r="E870" s="1">
        <f t="shared" si="75"/>
        <v>386</v>
      </c>
      <c r="F870" s="1">
        <f t="shared" si="76"/>
        <v>14</v>
      </c>
      <c r="G870" s="1">
        <f t="shared" si="77"/>
        <v>2766.44</v>
      </c>
    </row>
    <row r="871" spans="1:7" x14ac:dyDescent="0.25">
      <c r="A871" s="1">
        <v>870</v>
      </c>
      <c r="B871">
        <v>0.1196536978493683</v>
      </c>
      <c r="C871" s="1">
        <f t="shared" si="73"/>
        <v>177</v>
      </c>
      <c r="D871" s="1">
        <f t="shared" si="74"/>
        <v>324</v>
      </c>
      <c r="E871" s="1">
        <f t="shared" si="75"/>
        <v>324</v>
      </c>
      <c r="F871" s="1">
        <f t="shared" si="76"/>
        <v>76</v>
      </c>
      <c r="G871" s="1">
        <f t="shared" si="77"/>
        <v>2298.96</v>
      </c>
    </row>
    <row r="872" spans="1:7" x14ac:dyDescent="0.25">
      <c r="A872" s="1">
        <v>871</v>
      </c>
      <c r="B872">
        <v>0.47006832283881983</v>
      </c>
      <c r="C872" s="1">
        <f t="shared" si="73"/>
        <v>107</v>
      </c>
      <c r="D872" s="1">
        <f t="shared" si="74"/>
        <v>394</v>
      </c>
      <c r="E872" s="1">
        <f t="shared" si="75"/>
        <v>394</v>
      </c>
      <c r="F872" s="1">
        <f t="shared" si="76"/>
        <v>6</v>
      </c>
      <c r="G872" s="1">
        <f t="shared" si="77"/>
        <v>2826.76</v>
      </c>
    </row>
    <row r="873" spans="1:7" x14ac:dyDescent="0.25">
      <c r="A873" s="1">
        <v>872</v>
      </c>
      <c r="B873">
        <v>0.61691402645316751</v>
      </c>
      <c r="C873" s="1">
        <f t="shared" si="73"/>
        <v>78</v>
      </c>
      <c r="D873" s="1">
        <f t="shared" si="74"/>
        <v>423</v>
      </c>
      <c r="E873" s="1">
        <f t="shared" si="75"/>
        <v>400</v>
      </c>
      <c r="F873" s="1">
        <f t="shared" si="76"/>
        <v>0</v>
      </c>
      <c r="G873" s="1">
        <f t="shared" si="77"/>
        <v>2872</v>
      </c>
    </row>
    <row r="874" spans="1:7" x14ac:dyDescent="0.25">
      <c r="A874" s="1">
        <v>873</v>
      </c>
      <c r="B874">
        <v>0.71580302662105477</v>
      </c>
      <c r="C874" s="1">
        <f t="shared" si="73"/>
        <v>58</v>
      </c>
      <c r="D874" s="1">
        <f t="shared" si="74"/>
        <v>443</v>
      </c>
      <c r="E874" s="1">
        <f t="shared" si="75"/>
        <v>400</v>
      </c>
      <c r="F874" s="1">
        <f t="shared" si="76"/>
        <v>0</v>
      </c>
      <c r="G874" s="1">
        <f t="shared" si="77"/>
        <v>2872</v>
      </c>
    </row>
    <row r="875" spans="1:7" x14ac:dyDescent="0.25">
      <c r="A875" s="1">
        <v>874</v>
      </c>
      <c r="B875">
        <v>0.12032395625578796</v>
      </c>
      <c r="C875" s="1">
        <f t="shared" si="73"/>
        <v>177</v>
      </c>
      <c r="D875" s="1">
        <f t="shared" si="74"/>
        <v>324</v>
      </c>
      <c r="E875" s="1">
        <f t="shared" si="75"/>
        <v>324</v>
      </c>
      <c r="F875" s="1">
        <f t="shared" si="76"/>
        <v>76</v>
      </c>
      <c r="G875" s="1">
        <f t="shared" si="77"/>
        <v>2298.96</v>
      </c>
    </row>
    <row r="876" spans="1:7" x14ac:dyDescent="0.25">
      <c r="A876" s="1">
        <v>875</v>
      </c>
      <c r="B876">
        <v>0.81405357821281821</v>
      </c>
      <c r="C876" s="1">
        <f t="shared" si="73"/>
        <v>38</v>
      </c>
      <c r="D876" s="1">
        <f t="shared" si="74"/>
        <v>463</v>
      </c>
      <c r="E876" s="1">
        <f t="shared" si="75"/>
        <v>400</v>
      </c>
      <c r="F876" s="1">
        <f t="shared" si="76"/>
        <v>0</v>
      </c>
      <c r="G876" s="1">
        <f t="shared" si="77"/>
        <v>2872</v>
      </c>
    </row>
    <row r="877" spans="1:7" x14ac:dyDescent="0.25">
      <c r="A877" s="1">
        <v>876</v>
      </c>
      <c r="B877">
        <v>0.11877177437640318</v>
      </c>
      <c r="C877" s="1">
        <f t="shared" si="73"/>
        <v>178</v>
      </c>
      <c r="D877" s="1">
        <f t="shared" si="74"/>
        <v>323</v>
      </c>
      <c r="E877" s="1">
        <f t="shared" si="75"/>
        <v>323</v>
      </c>
      <c r="F877" s="1">
        <f t="shared" si="76"/>
        <v>77</v>
      </c>
      <c r="G877" s="1">
        <f t="shared" si="77"/>
        <v>2291.42</v>
      </c>
    </row>
    <row r="878" spans="1:7" x14ac:dyDescent="0.25">
      <c r="A878" s="1">
        <v>877</v>
      </c>
      <c r="B878">
        <v>0.60924111398367065</v>
      </c>
      <c r="C878" s="1">
        <f t="shared" si="73"/>
        <v>79</v>
      </c>
      <c r="D878" s="1">
        <f t="shared" si="74"/>
        <v>422</v>
      </c>
      <c r="E878" s="1">
        <f t="shared" si="75"/>
        <v>400</v>
      </c>
      <c r="F878" s="1">
        <f t="shared" si="76"/>
        <v>0</v>
      </c>
      <c r="G878" s="1">
        <f t="shared" si="77"/>
        <v>2872</v>
      </c>
    </row>
    <row r="879" spans="1:7" x14ac:dyDescent="0.25">
      <c r="A879" s="1">
        <v>878</v>
      </c>
      <c r="B879">
        <v>0.8658992321179827</v>
      </c>
      <c r="C879" s="1">
        <f t="shared" si="73"/>
        <v>27</v>
      </c>
      <c r="D879" s="1">
        <f t="shared" si="74"/>
        <v>474</v>
      </c>
      <c r="E879" s="1">
        <f t="shared" si="75"/>
        <v>400</v>
      </c>
      <c r="F879" s="1">
        <f t="shared" si="76"/>
        <v>0</v>
      </c>
      <c r="G879" s="1">
        <f t="shared" si="77"/>
        <v>2872</v>
      </c>
    </row>
    <row r="880" spans="1:7" x14ac:dyDescent="0.25">
      <c r="A880" s="1">
        <v>879</v>
      </c>
      <c r="B880">
        <v>0.14866299462318078</v>
      </c>
      <c r="C880" s="1">
        <f t="shared" si="73"/>
        <v>172</v>
      </c>
      <c r="D880" s="1">
        <f t="shared" si="74"/>
        <v>329</v>
      </c>
      <c r="E880" s="1">
        <f t="shared" si="75"/>
        <v>329</v>
      </c>
      <c r="F880" s="1">
        <f t="shared" si="76"/>
        <v>71</v>
      </c>
      <c r="G880" s="1">
        <f t="shared" si="77"/>
        <v>2336.66</v>
      </c>
    </row>
    <row r="881" spans="1:7" x14ac:dyDescent="0.25">
      <c r="A881" s="1">
        <v>880</v>
      </c>
      <c r="B881">
        <v>0.84516014415566676</v>
      </c>
      <c r="C881" s="1">
        <f t="shared" si="73"/>
        <v>32</v>
      </c>
      <c r="D881" s="1">
        <f t="shared" si="74"/>
        <v>469</v>
      </c>
      <c r="E881" s="1">
        <f t="shared" si="75"/>
        <v>400</v>
      </c>
      <c r="F881" s="1">
        <f t="shared" si="76"/>
        <v>0</v>
      </c>
      <c r="G881" s="1">
        <f t="shared" si="77"/>
        <v>2872</v>
      </c>
    </row>
    <row r="882" spans="1:7" x14ac:dyDescent="0.25">
      <c r="A882" s="1">
        <v>881</v>
      </c>
      <c r="B882">
        <v>0.88341398019612971</v>
      </c>
      <c r="C882" s="1">
        <f t="shared" si="73"/>
        <v>24</v>
      </c>
      <c r="D882" s="1">
        <f t="shared" si="74"/>
        <v>477</v>
      </c>
      <c r="E882" s="1">
        <f t="shared" si="75"/>
        <v>400</v>
      </c>
      <c r="F882" s="1">
        <f t="shared" si="76"/>
        <v>0</v>
      </c>
      <c r="G882" s="1">
        <f t="shared" si="77"/>
        <v>2872</v>
      </c>
    </row>
    <row r="883" spans="1:7" x14ac:dyDescent="0.25">
      <c r="A883" s="1">
        <v>882</v>
      </c>
      <c r="B883">
        <v>0.6134003022698028</v>
      </c>
      <c r="C883" s="1">
        <f t="shared" si="73"/>
        <v>78</v>
      </c>
      <c r="D883" s="1">
        <f t="shared" si="74"/>
        <v>423</v>
      </c>
      <c r="E883" s="1">
        <f t="shared" si="75"/>
        <v>400</v>
      </c>
      <c r="F883" s="1">
        <f t="shared" si="76"/>
        <v>0</v>
      </c>
      <c r="G883" s="1">
        <f t="shared" si="77"/>
        <v>2872</v>
      </c>
    </row>
    <row r="884" spans="1:7" x14ac:dyDescent="0.25">
      <c r="A884" s="1">
        <v>883</v>
      </c>
      <c r="B884">
        <v>0.49615308390446144</v>
      </c>
      <c r="C884" s="1">
        <f t="shared" si="73"/>
        <v>102</v>
      </c>
      <c r="D884" s="1">
        <f t="shared" si="74"/>
        <v>399</v>
      </c>
      <c r="E884" s="1">
        <f t="shared" si="75"/>
        <v>399</v>
      </c>
      <c r="F884" s="1">
        <f t="shared" si="76"/>
        <v>1</v>
      </c>
      <c r="G884" s="1">
        <f t="shared" si="77"/>
        <v>2864.46</v>
      </c>
    </row>
    <row r="885" spans="1:7" x14ac:dyDescent="0.25">
      <c r="A885" s="1">
        <v>884</v>
      </c>
      <c r="B885">
        <v>0.8031478533375106</v>
      </c>
      <c r="C885" s="1">
        <f t="shared" si="73"/>
        <v>40</v>
      </c>
      <c r="D885" s="1">
        <f t="shared" si="74"/>
        <v>461</v>
      </c>
      <c r="E885" s="1">
        <f t="shared" si="75"/>
        <v>400</v>
      </c>
      <c r="F885" s="1">
        <f t="shared" si="76"/>
        <v>0</v>
      </c>
      <c r="G885" s="1">
        <f t="shared" si="77"/>
        <v>2872</v>
      </c>
    </row>
    <row r="886" spans="1:7" x14ac:dyDescent="0.25">
      <c r="A886" s="1">
        <v>885</v>
      </c>
      <c r="B886">
        <v>0.27385177294163254</v>
      </c>
      <c r="C886" s="1">
        <f t="shared" si="73"/>
        <v>146</v>
      </c>
      <c r="D886" s="1">
        <f t="shared" si="74"/>
        <v>355</v>
      </c>
      <c r="E886" s="1">
        <f t="shared" si="75"/>
        <v>355</v>
      </c>
      <c r="F886" s="1">
        <f t="shared" si="76"/>
        <v>45</v>
      </c>
      <c r="G886" s="1">
        <f t="shared" si="77"/>
        <v>2532.6999999999998</v>
      </c>
    </row>
    <row r="887" spans="1:7" x14ac:dyDescent="0.25">
      <c r="A887" s="1">
        <v>886</v>
      </c>
      <c r="B887">
        <v>0.88377031286620111</v>
      </c>
      <c r="C887" s="1">
        <f t="shared" si="73"/>
        <v>24</v>
      </c>
      <c r="D887" s="1">
        <f t="shared" si="74"/>
        <v>477</v>
      </c>
      <c r="E887" s="1">
        <f t="shared" si="75"/>
        <v>400</v>
      </c>
      <c r="F887" s="1">
        <f t="shared" si="76"/>
        <v>0</v>
      </c>
      <c r="G887" s="1">
        <f t="shared" si="77"/>
        <v>2872</v>
      </c>
    </row>
    <row r="888" spans="1:7" x14ac:dyDescent="0.25">
      <c r="A888" s="1">
        <v>887</v>
      </c>
      <c r="B888">
        <v>0.35971690302590931</v>
      </c>
      <c r="C888" s="1">
        <f t="shared" si="73"/>
        <v>129</v>
      </c>
      <c r="D888" s="1">
        <f t="shared" si="74"/>
        <v>372</v>
      </c>
      <c r="E888" s="1">
        <f t="shared" si="75"/>
        <v>372</v>
      </c>
      <c r="F888" s="1">
        <f t="shared" si="76"/>
        <v>28</v>
      </c>
      <c r="G888" s="1">
        <f t="shared" si="77"/>
        <v>2660.88</v>
      </c>
    </row>
    <row r="889" spans="1:7" x14ac:dyDescent="0.25">
      <c r="A889" s="1">
        <v>888</v>
      </c>
      <c r="B889">
        <v>0.43789637256755054</v>
      </c>
      <c r="C889" s="1">
        <f t="shared" si="73"/>
        <v>113</v>
      </c>
      <c r="D889" s="1">
        <f t="shared" si="74"/>
        <v>388</v>
      </c>
      <c r="E889" s="1">
        <f t="shared" si="75"/>
        <v>388</v>
      </c>
      <c r="F889" s="1">
        <f t="shared" si="76"/>
        <v>12</v>
      </c>
      <c r="G889" s="1">
        <f t="shared" si="77"/>
        <v>2781.52</v>
      </c>
    </row>
    <row r="890" spans="1:7" x14ac:dyDescent="0.25">
      <c r="A890" s="1">
        <v>889</v>
      </c>
      <c r="B890">
        <v>0.68282049052666138</v>
      </c>
      <c r="C890" s="1">
        <f t="shared" si="73"/>
        <v>64</v>
      </c>
      <c r="D890" s="1">
        <f t="shared" si="74"/>
        <v>437</v>
      </c>
      <c r="E890" s="1">
        <f t="shared" si="75"/>
        <v>400</v>
      </c>
      <c r="F890" s="1">
        <f t="shared" si="76"/>
        <v>0</v>
      </c>
      <c r="G890" s="1">
        <f t="shared" si="77"/>
        <v>2872</v>
      </c>
    </row>
    <row r="891" spans="1:7" x14ac:dyDescent="0.25">
      <c r="A891" s="1">
        <v>890</v>
      </c>
      <c r="B891">
        <v>0.33162815018928105</v>
      </c>
      <c r="C891" s="1">
        <f t="shared" si="73"/>
        <v>135</v>
      </c>
      <c r="D891" s="1">
        <f t="shared" si="74"/>
        <v>366</v>
      </c>
      <c r="E891" s="1">
        <f t="shared" si="75"/>
        <v>366</v>
      </c>
      <c r="F891" s="1">
        <f t="shared" si="76"/>
        <v>34</v>
      </c>
      <c r="G891" s="1">
        <f t="shared" si="77"/>
        <v>2615.64</v>
      </c>
    </row>
    <row r="892" spans="1:7" x14ac:dyDescent="0.25">
      <c r="A892" s="1">
        <v>891</v>
      </c>
      <c r="B892">
        <v>0.15009419208596786</v>
      </c>
      <c r="C892" s="1">
        <f t="shared" si="73"/>
        <v>171</v>
      </c>
      <c r="D892" s="1">
        <f t="shared" si="74"/>
        <v>330</v>
      </c>
      <c r="E892" s="1">
        <f t="shared" si="75"/>
        <v>330</v>
      </c>
      <c r="F892" s="1">
        <f t="shared" si="76"/>
        <v>70</v>
      </c>
      <c r="G892" s="1">
        <f t="shared" si="77"/>
        <v>2344.1999999999998</v>
      </c>
    </row>
    <row r="893" spans="1:7" x14ac:dyDescent="0.25">
      <c r="A893" s="1">
        <v>892</v>
      </c>
      <c r="B893">
        <v>0.43593635737741121</v>
      </c>
      <c r="C893" s="1">
        <f t="shared" si="73"/>
        <v>114</v>
      </c>
      <c r="D893" s="1">
        <f t="shared" si="74"/>
        <v>387</v>
      </c>
      <c r="E893" s="1">
        <f t="shared" si="75"/>
        <v>387</v>
      </c>
      <c r="F893" s="1">
        <f t="shared" si="76"/>
        <v>13</v>
      </c>
      <c r="G893" s="1">
        <f t="shared" si="77"/>
        <v>2773.98</v>
      </c>
    </row>
    <row r="894" spans="1:7" x14ac:dyDescent="0.25">
      <c r="A894" s="1">
        <v>893</v>
      </c>
      <c r="B894">
        <v>0.44982928835606395</v>
      </c>
      <c r="C894" s="1">
        <f t="shared" si="73"/>
        <v>111</v>
      </c>
      <c r="D894" s="1">
        <f t="shared" si="74"/>
        <v>390</v>
      </c>
      <c r="E894" s="1">
        <f t="shared" si="75"/>
        <v>390</v>
      </c>
      <c r="F894" s="1">
        <f t="shared" si="76"/>
        <v>10</v>
      </c>
      <c r="G894" s="1">
        <f t="shared" si="77"/>
        <v>2796.6</v>
      </c>
    </row>
    <row r="895" spans="1:7" x14ac:dyDescent="0.25">
      <c r="A895" s="1">
        <v>894</v>
      </c>
      <c r="B895">
        <v>0.98720141721281196</v>
      </c>
      <c r="C895" s="1">
        <f t="shared" si="73"/>
        <v>3</v>
      </c>
      <c r="D895" s="1">
        <f t="shared" si="74"/>
        <v>498</v>
      </c>
      <c r="E895" s="1">
        <f t="shared" si="75"/>
        <v>400</v>
      </c>
      <c r="F895" s="1">
        <f t="shared" si="76"/>
        <v>0</v>
      </c>
      <c r="G895" s="1">
        <f t="shared" si="77"/>
        <v>2872</v>
      </c>
    </row>
    <row r="896" spans="1:7" x14ac:dyDescent="0.25">
      <c r="A896" s="1">
        <v>895</v>
      </c>
      <c r="B896">
        <v>0.60846866612296124</v>
      </c>
      <c r="C896" s="1">
        <f t="shared" si="73"/>
        <v>79</v>
      </c>
      <c r="D896" s="1">
        <f t="shared" si="74"/>
        <v>422</v>
      </c>
      <c r="E896" s="1">
        <f t="shared" si="75"/>
        <v>400</v>
      </c>
      <c r="F896" s="1">
        <f t="shared" si="76"/>
        <v>0</v>
      </c>
      <c r="G896" s="1">
        <f t="shared" si="77"/>
        <v>2872</v>
      </c>
    </row>
    <row r="897" spans="1:7" x14ac:dyDescent="0.25">
      <c r="A897" s="1">
        <v>896</v>
      </c>
      <c r="B897">
        <v>0.26798829077888586</v>
      </c>
      <c r="C897" s="1">
        <f t="shared" si="73"/>
        <v>148</v>
      </c>
      <c r="D897" s="1">
        <f t="shared" si="74"/>
        <v>353</v>
      </c>
      <c r="E897" s="1">
        <f t="shared" si="75"/>
        <v>353</v>
      </c>
      <c r="F897" s="1">
        <f t="shared" si="76"/>
        <v>47</v>
      </c>
      <c r="G897" s="1">
        <f t="shared" si="77"/>
        <v>2517.62</v>
      </c>
    </row>
    <row r="898" spans="1:7" x14ac:dyDescent="0.25">
      <c r="A898" s="1">
        <v>897</v>
      </c>
      <c r="B898">
        <v>0.31367544905323064</v>
      </c>
      <c r="C898" s="1">
        <f t="shared" ref="C898:C961" si="78">MATCH(B898,$N$2:$N$202,-1)</f>
        <v>138</v>
      </c>
      <c r="D898" s="1">
        <f t="shared" ref="D898:D961" si="79">INDEX($L$2:$L$202,C898)</f>
        <v>363</v>
      </c>
      <c r="E898" s="1">
        <f t="shared" si="75"/>
        <v>363</v>
      </c>
      <c r="F898" s="1">
        <f t="shared" si="76"/>
        <v>37</v>
      </c>
      <c r="G898" s="1">
        <f t="shared" si="77"/>
        <v>2593.02</v>
      </c>
    </row>
    <row r="899" spans="1:7" x14ac:dyDescent="0.25">
      <c r="A899" s="1">
        <v>898</v>
      </c>
      <c r="B899">
        <v>0.56846229403486681</v>
      </c>
      <c r="C899" s="1">
        <f t="shared" si="78"/>
        <v>87</v>
      </c>
      <c r="D899" s="1">
        <f t="shared" si="79"/>
        <v>414</v>
      </c>
      <c r="E899" s="1">
        <f t="shared" ref="E899:E962" si="80">MIN(D899,$I$2)</f>
        <v>400</v>
      </c>
      <c r="F899" s="1">
        <f t="shared" ref="F899:F962" si="81">$I$2-E899</f>
        <v>0</v>
      </c>
      <c r="G899" s="1">
        <f t="shared" ref="G899:G962" si="82">7.5*E899-$I$2/25*8-F899/25*1</f>
        <v>2872</v>
      </c>
    </row>
    <row r="900" spans="1:7" x14ac:dyDescent="0.25">
      <c r="A900" s="1">
        <v>899</v>
      </c>
      <c r="B900">
        <v>0.74845934496088884</v>
      </c>
      <c r="C900" s="1">
        <f t="shared" si="78"/>
        <v>51</v>
      </c>
      <c r="D900" s="1">
        <f t="shared" si="79"/>
        <v>450</v>
      </c>
      <c r="E900" s="1">
        <f t="shared" si="80"/>
        <v>400</v>
      </c>
      <c r="F900" s="1">
        <f t="shared" si="81"/>
        <v>0</v>
      </c>
      <c r="G900" s="1">
        <f t="shared" si="82"/>
        <v>2872</v>
      </c>
    </row>
    <row r="901" spans="1:7" x14ac:dyDescent="0.25">
      <c r="A901" s="1">
        <v>900</v>
      </c>
      <c r="B901">
        <v>0.46968972051499436</v>
      </c>
      <c r="C901" s="1">
        <f t="shared" si="78"/>
        <v>107</v>
      </c>
      <c r="D901" s="1">
        <f t="shared" si="79"/>
        <v>394</v>
      </c>
      <c r="E901" s="1">
        <f t="shared" si="80"/>
        <v>394</v>
      </c>
      <c r="F901" s="1">
        <f t="shared" si="81"/>
        <v>6</v>
      </c>
      <c r="G901" s="1">
        <f t="shared" si="82"/>
        <v>2826.76</v>
      </c>
    </row>
    <row r="902" spans="1:7" x14ac:dyDescent="0.25">
      <c r="A902" s="1">
        <v>901</v>
      </c>
      <c r="B902">
        <v>0.98749503165707397</v>
      </c>
      <c r="C902" s="1">
        <f t="shared" si="78"/>
        <v>3</v>
      </c>
      <c r="D902" s="1">
        <f t="shared" si="79"/>
        <v>498</v>
      </c>
      <c r="E902" s="1">
        <f t="shared" si="80"/>
        <v>400</v>
      </c>
      <c r="F902" s="1">
        <f t="shared" si="81"/>
        <v>0</v>
      </c>
      <c r="G902" s="1">
        <f t="shared" si="82"/>
        <v>2872</v>
      </c>
    </row>
    <row r="903" spans="1:7" x14ac:dyDescent="0.25">
      <c r="A903" s="1">
        <v>902</v>
      </c>
      <c r="B903">
        <v>0.71432430964189153</v>
      </c>
      <c r="C903" s="1">
        <f t="shared" si="78"/>
        <v>58</v>
      </c>
      <c r="D903" s="1">
        <f t="shared" si="79"/>
        <v>443</v>
      </c>
      <c r="E903" s="1">
        <f t="shared" si="80"/>
        <v>400</v>
      </c>
      <c r="F903" s="1">
        <f t="shared" si="81"/>
        <v>0</v>
      </c>
      <c r="G903" s="1">
        <f t="shared" si="82"/>
        <v>2872</v>
      </c>
    </row>
    <row r="904" spans="1:7" x14ac:dyDescent="0.25">
      <c r="A904" s="1">
        <v>903</v>
      </c>
      <c r="B904">
        <v>0.83525907678722811</v>
      </c>
      <c r="C904" s="1">
        <f t="shared" si="78"/>
        <v>34</v>
      </c>
      <c r="D904" s="1">
        <f t="shared" si="79"/>
        <v>467</v>
      </c>
      <c r="E904" s="1">
        <f t="shared" si="80"/>
        <v>400</v>
      </c>
      <c r="F904" s="1">
        <f t="shared" si="81"/>
        <v>0</v>
      </c>
      <c r="G904" s="1">
        <f t="shared" si="82"/>
        <v>2872</v>
      </c>
    </row>
    <row r="905" spans="1:7" x14ac:dyDescent="0.25">
      <c r="A905" s="1">
        <v>904</v>
      </c>
      <c r="B905">
        <v>0.17789952556661903</v>
      </c>
      <c r="C905" s="1">
        <f t="shared" si="78"/>
        <v>166</v>
      </c>
      <c r="D905" s="1">
        <f t="shared" si="79"/>
        <v>335</v>
      </c>
      <c r="E905" s="1">
        <f t="shared" si="80"/>
        <v>335</v>
      </c>
      <c r="F905" s="1">
        <f t="shared" si="81"/>
        <v>65</v>
      </c>
      <c r="G905" s="1">
        <f t="shared" si="82"/>
        <v>2381.9</v>
      </c>
    </row>
    <row r="906" spans="1:7" x14ac:dyDescent="0.25">
      <c r="A906" s="1">
        <v>905</v>
      </c>
      <c r="B906">
        <v>9.5605383630772534E-2</v>
      </c>
      <c r="C906" s="1">
        <f t="shared" si="78"/>
        <v>182</v>
      </c>
      <c r="D906" s="1">
        <f t="shared" si="79"/>
        <v>319</v>
      </c>
      <c r="E906" s="1">
        <f t="shared" si="80"/>
        <v>319</v>
      </c>
      <c r="F906" s="1">
        <f t="shared" si="81"/>
        <v>81</v>
      </c>
      <c r="G906" s="1">
        <f t="shared" si="82"/>
        <v>2261.2600000000002</v>
      </c>
    </row>
    <row r="907" spans="1:7" x14ac:dyDescent="0.25">
      <c r="A907" s="1">
        <v>906</v>
      </c>
      <c r="B907">
        <v>0.83661762647014237</v>
      </c>
      <c r="C907" s="1">
        <f t="shared" si="78"/>
        <v>33</v>
      </c>
      <c r="D907" s="1">
        <f t="shared" si="79"/>
        <v>468</v>
      </c>
      <c r="E907" s="1">
        <f t="shared" si="80"/>
        <v>400</v>
      </c>
      <c r="F907" s="1">
        <f t="shared" si="81"/>
        <v>0</v>
      </c>
      <c r="G907" s="1">
        <f t="shared" si="82"/>
        <v>2872</v>
      </c>
    </row>
    <row r="908" spans="1:7" x14ac:dyDescent="0.25">
      <c r="A908" s="1">
        <v>907</v>
      </c>
      <c r="B908">
        <v>0.14922744694903645</v>
      </c>
      <c r="C908" s="1">
        <f t="shared" si="78"/>
        <v>172</v>
      </c>
      <c r="D908" s="1">
        <f t="shared" si="79"/>
        <v>329</v>
      </c>
      <c r="E908" s="1">
        <f t="shared" si="80"/>
        <v>329</v>
      </c>
      <c r="F908" s="1">
        <f t="shared" si="81"/>
        <v>71</v>
      </c>
      <c r="G908" s="1">
        <f t="shared" si="82"/>
        <v>2336.66</v>
      </c>
    </row>
    <row r="909" spans="1:7" x14ac:dyDescent="0.25">
      <c r="A909" s="1">
        <v>908</v>
      </c>
      <c r="B909">
        <v>0.11381299294921843</v>
      </c>
      <c r="C909" s="1">
        <f t="shared" si="78"/>
        <v>179</v>
      </c>
      <c r="D909" s="1">
        <f t="shared" si="79"/>
        <v>322</v>
      </c>
      <c r="E909" s="1">
        <f t="shared" si="80"/>
        <v>322</v>
      </c>
      <c r="F909" s="1">
        <f t="shared" si="81"/>
        <v>78</v>
      </c>
      <c r="G909" s="1">
        <f t="shared" si="82"/>
        <v>2283.88</v>
      </c>
    </row>
    <row r="910" spans="1:7" x14ac:dyDescent="0.25">
      <c r="A910" s="1">
        <v>909</v>
      </c>
      <c r="B910">
        <v>0.65301630434115043</v>
      </c>
      <c r="C910" s="1">
        <f t="shared" si="78"/>
        <v>70</v>
      </c>
      <c r="D910" s="1">
        <f t="shared" si="79"/>
        <v>431</v>
      </c>
      <c r="E910" s="1">
        <f t="shared" si="80"/>
        <v>400</v>
      </c>
      <c r="F910" s="1">
        <f t="shared" si="81"/>
        <v>0</v>
      </c>
      <c r="G910" s="1">
        <f t="shared" si="82"/>
        <v>2872</v>
      </c>
    </row>
    <row r="911" spans="1:7" x14ac:dyDescent="0.25">
      <c r="A911" s="1">
        <v>910</v>
      </c>
      <c r="B911">
        <v>0.83895502700211311</v>
      </c>
      <c r="C911" s="1">
        <f t="shared" si="78"/>
        <v>33</v>
      </c>
      <c r="D911" s="1">
        <f t="shared" si="79"/>
        <v>468</v>
      </c>
      <c r="E911" s="1">
        <f t="shared" si="80"/>
        <v>400</v>
      </c>
      <c r="F911" s="1">
        <f t="shared" si="81"/>
        <v>0</v>
      </c>
      <c r="G911" s="1">
        <f t="shared" si="82"/>
        <v>2872</v>
      </c>
    </row>
    <row r="912" spans="1:7" x14ac:dyDescent="0.25">
      <c r="A912" s="1">
        <v>911</v>
      </c>
      <c r="B912">
        <v>0.87293608526121513</v>
      </c>
      <c r="C912" s="1">
        <f t="shared" si="78"/>
        <v>26</v>
      </c>
      <c r="D912" s="1">
        <f t="shared" si="79"/>
        <v>475</v>
      </c>
      <c r="E912" s="1">
        <f t="shared" si="80"/>
        <v>400</v>
      </c>
      <c r="F912" s="1">
        <f t="shared" si="81"/>
        <v>0</v>
      </c>
      <c r="G912" s="1">
        <f t="shared" si="82"/>
        <v>2872</v>
      </c>
    </row>
    <row r="913" spans="1:7" x14ac:dyDescent="0.25">
      <c r="A913" s="1">
        <v>912</v>
      </c>
      <c r="B913">
        <v>0.98716437513440014</v>
      </c>
      <c r="C913" s="1">
        <f t="shared" si="78"/>
        <v>3</v>
      </c>
      <c r="D913" s="1">
        <f t="shared" si="79"/>
        <v>498</v>
      </c>
      <c r="E913" s="1">
        <f t="shared" si="80"/>
        <v>400</v>
      </c>
      <c r="F913" s="1">
        <f t="shared" si="81"/>
        <v>0</v>
      </c>
      <c r="G913" s="1">
        <f t="shared" si="82"/>
        <v>2872</v>
      </c>
    </row>
    <row r="914" spans="1:7" x14ac:dyDescent="0.25">
      <c r="A914" s="1">
        <v>913</v>
      </c>
      <c r="B914">
        <v>7.1452890853332618E-2</v>
      </c>
      <c r="C914" s="1">
        <f t="shared" si="78"/>
        <v>187</v>
      </c>
      <c r="D914" s="1">
        <f t="shared" si="79"/>
        <v>314</v>
      </c>
      <c r="E914" s="1">
        <f t="shared" si="80"/>
        <v>314</v>
      </c>
      <c r="F914" s="1">
        <f t="shared" si="81"/>
        <v>86</v>
      </c>
      <c r="G914" s="1">
        <f t="shared" si="82"/>
        <v>2223.56</v>
      </c>
    </row>
    <row r="915" spans="1:7" x14ac:dyDescent="0.25">
      <c r="A915" s="1">
        <v>914</v>
      </c>
      <c r="B915">
        <v>0.86076516513119528</v>
      </c>
      <c r="C915" s="1">
        <f t="shared" si="78"/>
        <v>28</v>
      </c>
      <c r="D915" s="1">
        <f t="shared" si="79"/>
        <v>473</v>
      </c>
      <c r="E915" s="1">
        <f t="shared" si="80"/>
        <v>400</v>
      </c>
      <c r="F915" s="1">
        <f t="shared" si="81"/>
        <v>0</v>
      </c>
      <c r="G915" s="1">
        <f t="shared" si="82"/>
        <v>2872</v>
      </c>
    </row>
    <row r="916" spans="1:7" x14ac:dyDescent="0.25">
      <c r="A916" s="1">
        <v>915</v>
      </c>
      <c r="B916">
        <v>0.8762736748553448</v>
      </c>
      <c r="C916" s="1">
        <f t="shared" si="78"/>
        <v>25</v>
      </c>
      <c r="D916" s="1">
        <f t="shared" si="79"/>
        <v>476</v>
      </c>
      <c r="E916" s="1">
        <f t="shared" si="80"/>
        <v>400</v>
      </c>
      <c r="F916" s="1">
        <f t="shared" si="81"/>
        <v>0</v>
      </c>
      <c r="G916" s="1">
        <f t="shared" si="82"/>
        <v>2872</v>
      </c>
    </row>
    <row r="917" spans="1:7" x14ac:dyDescent="0.25">
      <c r="A917" s="1">
        <v>916</v>
      </c>
      <c r="B917">
        <v>0.97373761438084283</v>
      </c>
      <c r="C917" s="1">
        <f t="shared" si="78"/>
        <v>6</v>
      </c>
      <c r="D917" s="1">
        <f t="shared" si="79"/>
        <v>495</v>
      </c>
      <c r="E917" s="1">
        <f t="shared" si="80"/>
        <v>400</v>
      </c>
      <c r="F917" s="1">
        <f t="shared" si="81"/>
        <v>0</v>
      </c>
      <c r="G917" s="1">
        <f t="shared" si="82"/>
        <v>2872</v>
      </c>
    </row>
    <row r="918" spans="1:7" x14ac:dyDescent="0.25">
      <c r="A918" s="1">
        <v>917</v>
      </c>
      <c r="B918">
        <v>0.1912959615073293</v>
      </c>
      <c r="C918" s="1">
        <f t="shared" si="78"/>
        <v>163</v>
      </c>
      <c r="D918" s="1">
        <f t="shared" si="79"/>
        <v>338</v>
      </c>
      <c r="E918" s="1">
        <f t="shared" si="80"/>
        <v>338</v>
      </c>
      <c r="F918" s="1">
        <f t="shared" si="81"/>
        <v>62</v>
      </c>
      <c r="G918" s="1">
        <f t="shared" si="82"/>
        <v>2404.52</v>
      </c>
    </row>
    <row r="919" spans="1:7" x14ac:dyDescent="0.25">
      <c r="A919" s="1">
        <v>918</v>
      </c>
      <c r="B919">
        <v>0.16553820065926872</v>
      </c>
      <c r="C919" s="1">
        <f t="shared" si="78"/>
        <v>168</v>
      </c>
      <c r="D919" s="1">
        <f t="shared" si="79"/>
        <v>333</v>
      </c>
      <c r="E919" s="1">
        <f t="shared" si="80"/>
        <v>333</v>
      </c>
      <c r="F919" s="1">
        <f t="shared" si="81"/>
        <v>67</v>
      </c>
      <c r="G919" s="1">
        <f t="shared" si="82"/>
        <v>2366.8200000000002</v>
      </c>
    </row>
    <row r="920" spans="1:7" x14ac:dyDescent="0.25">
      <c r="A920" s="1">
        <v>919</v>
      </c>
      <c r="B920">
        <v>0.38562086487749347</v>
      </c>
      <c r="C920" s="1">
        <f t="shared" si="78"/>
        <v>124</v>
      </c>
      <c r="D920" s="1">
        <f t="shared" si="79"/>
        <v>377</v>
      </c>
      <c r="E920" s="1">
        <f t="shared" si="80"/>
        <v>377</v>
      </c>
      <c r="F920" s="1">
        <f t="shared" si="81"/>
        <v>23</v>
      </c>
      <c r="G920" s="1">
        <f t="shared" si="82"/>
        <v>2698.58</v>
      </c>
    </row>
    <row r="921" spans="1:7" x14ac:dyDescent="0.25">
      <c r="A921" s="1">
        <v>920</v>
      </c>
      <c r="B921">
        <v>0.13538469972902845</v>
      </c>
      <c r="C921" s="1">
        <f t="shared" si="78"/>
        <v>174</v>
      </c>
      <c r="D921" s="1">
        <f t="shared" si="79"/>
        <v>327</v>
      </c>
      <c r="E921" s="1">
        <f t="shared" si="80"/>
        <v>327</v>
      </c>
      <c r="F921" s="1">
        <f t="shared" si="81"/>
        <v>73</v>
      </c>
      <c r="G921" s="1">
        <f t="shared" si="82"/>
        <v>2321.58</v>
      </c>
    </row>
    <row r="922" spans="1:7" x14ac:dyDescent="0.25">
      <c r="A922" s="1">
        <v>921</v>
      </c>
      <c r="B922">
        <v>0.36826159014804905</v>
      </c>
      <c r="C922" s="1">
        <f t="shared" si="78"/>
        <v>127</v>
      </c>
      <c r="D922" s="1">
        <f t="shared" si="79"/>
        <v>374</v>
      </c>
      <c r="E922" s="1">
        <f t="shared" si="80"/>
        <v>374</v>
      </c>
      <c r="F922" s="1">
        <f t="shared" si="81"/>
        <v>26</v>
      </c>
      <c r="G922" s="1">
        <f t="shared" si="82"/>
        <v>2675.96</v>
      </c>
    </row>
    <row r="923" spans="1:7" x14ac:dyDescent="0.25">
      <c r="A923" s="1">
        <v>922</v>
      </c>
      <c r="B923">
        <v>0.57871020769311476</v>
      </c>
      <c r="C923" s="1">
        <f t="shared" si="78"/>
        <v>85</v>
      </c>
      <c r="D923" s="1">
        <f t="shared" si="79"/>
        <v>416</v>
      </c>
      <c r="E923" s="1">
        <f t="shared" si="80"/>
        <v>400</v>
      </c>
      <c r="F923" s="1">
        <f t="shared" si="81"/>
        <v>0</v>
      </c>
      <c r="G923" s="1">
        <f t="shared" si="82"/>
        <v>2872</v>
      </c>
    </row>
    <row r="924" spans="1:7" x14ac:dyDescent="0.25">
      <c r="A924" s="1">
        <v>923</v>
      </c>
      <c r="B924">
        <v>0.73291383167507518</v>
      </c>
      <c r="C924" s="1">
        <f t="shared" si="78"/>
        <v>54</v>
      </c>
      <c r="D924" s="1">
        <f t="shared" si="79"/>
        <v>447</v>
      </c>
      <c r="E924" s="1">
        <f t="shared" si="80"/>
        <v>400</v>
      </c>
      <c r="F924" s="1">
        <f t="shared" si="81"/>
        <v>0</v>
      </c>
      <c r="G924" s="1">
        <f t="shared" si="82"/>
        <v>2872</v>
      </c>
    </row>
    <row r="925" spans="1:7" x14ac:dyDescent="0.25">
      <c r="A925" s="1">
        <v>924</v>
      </c>
      <c r="B925">
        <v>0.99380333084334338</v>
      </c>
      <c r="C925" s="1">
        <f t="shared" si="78"/>
        <v>2</v>
      </c>
      <c r="D925" s="1">
        <f t="shared" si="79"/>
        <v>499</v>
      </c>
      <c r="E925" s="1">
        <f t="shared" si="80"/>
        <v>400</v>
      </c>
      <c r="F925" s="1">
        <f t="shared" si="81"/>
        <v>0</v>
      </c>
      <c r="G925" s="1">
        <f t="shared" si="82"/>
        <v>2872</v>
      </c>
    </row>
    <row r="926" spans="1:7" x14ac:dyDescent="0.25">
      <c r="A926" s="1">
        <v>925</v>
      </c>
      <c r="B926">
        <v>0.76676529645369029</v>
      </c>
      <c r="C926" s="1">
        <f t="shared" si="78"/>
        <v>47</v>
      </c>
      <c r="D926" s="1">
        <f t="shared" si="79"/>
        <v>454</v>
      </c>
      <c r="E926" s="1">
        <f t="shared" si="80"/>
        <v>400</v>
      </c>
      <c r="F926" s="1">
        <f t="shared" si="81"/>
        <v>0</v>
      </c>
      <c r="G926" s="1">
        <f t="shared" si="82"/>
        <v>2872</v>
      </c>
    </row>
    <row r="927" spans="1:7" x14ac:dyDescent="0.25">
      <c r="A927" s="1">
        <v>926</v>
      </c>
      <c r="B927">
        <v>0.69609398068504169</v>
      </c>
      <c r="C927" s="1">
        <f t="shared" si="78"/>
        <v>62</v>
      </c>
      <c r="D927" s="1">
        <f t="shared" si="79"/>
        <v>439</v>
      </c>
      <c r="E927" s="1">
        <f t="shared" si="80"/>
        <v>400</v>
      </c>
      <c r="F927" s="1">
        <f t="shared" si="81"/>
        <v>0</v>
      </c>
      <c r="G927" s="1">
        <f t="shared" si="82"/>
        <v>2872</v>
      </c>
    </row>
    <row r="928" spans="1:7" x14ac:dyDescent="0.25">
      <c r="A928" s="1">
        <v>927</v>
      </c>
      <c r="B928">
        <v>0.57682581733576033</v>
      </c>
      <c r="C928" s="1">
        <f t="shared" si="78"/>
        <v>86</v>
      </c>
      <c r="D928" s="1">
        <f t="shared" si="79"/>
        <v>415</v>
      </c>
      <c r="E928" s="1">
        <f t="shared" si="80"/>
        <v>400</v>
      </c>
      <c r="F928" s="1">
        <f t="shared" si="81"/>
        <v>0</v>
      </c>
      <c r="G928" s="1">
        <f t="shared" si="82"/>
        <v>2872</v>
      </c>
    </row>
    <row r="929" spans="1:7" x14ac:dyDescent="0.25">
      <c r="A929" s="1">
        <v>928</v>
      </c>
      <c r="B929">
        <v>0.92141824919089654</v>
      </c>
      <c r="C929" s="1">
        <f t="shared" si="78"/>
        <v>16</v>
      </c>
      <c r="D929" s="1">
        <f t="shared" si="79"/>
        <v>485</v>
      </c>
      <c r="E929" s="1">
        <f t="shared" si="80"/>
        <v>400</v>
      </c>
      <c r="F929" s="1">
        <f t="shared" si="81"/>
        <v>0</v>
      </c>
      <c r="G929" s="1">
        <f t="shared" si="82"/>
        <v>2872</v>
      </c>
    </row>
    <row r="930" spans="1:7" x14ac:dyDescent="0.25">
      <c r="A930" s="1">
        <v>929</v>
      </c>
      <c r="B930">
        <v>8.7134969554263364E-3</v>
      </c>
      <c r="C930" s="1">
        <f t="shared" si="78"/>
        <v>200</v>
      </c>
      <c r="D930" s="1">
        <f t="shared" si="79"/>
        <v>301</v>
      </c>
      <c r="E930" s="1">
        <f t="shared" si="80"/>
        <v>301</v>
      </c>
      <c r="F930" s="1">
        <f t="shared" si="81"/>
        <v>99</v>
      </c>
      <c r="G930" s="1">
        <f t="shared" si="82"/>
        <v>2125.54</v>
      </c>
    </row>
    <row r="931" spans="1:7" x14ac:dyDescent="0.25">
      <c r="A931" s="1">
        <v>930</v>
      </c>
      <c r="B931">
        <v>0.10911908889394828</v>
      </c>
      <c r="C931" s="1">
        <f t="shared" si="78"/>
        <v>180</v>
      </c>
      <c r="D931" s="1">
        <f t="shared" si="79"/>
        <v>321</v>
      </c>
      <c r="E931" s="1">
        <f t="shared" si="80"/>
        <v>321</v>
      </c>
      <c r="F931" s="1">
        <f t="shared" si="81"/>
        <v>79</v>
      </c>
      <c r="G931" s="1">
        <f t="shared" si="82"/>
        <v>2276.34</v>
      </c>
    </row>
    <row r="932" spans="1:7" x14ac:dyDescent="0.25">
      <c r="A932" s="1">
        <v>931</v>
      </c>
      <c r="B932">
        <v>0.88509693271751355</v>
      </c>
      <c r="C932" s="1">
        <f t="shared" si="78"/>
        <v>24</v>
      </c>
      <c r="D932" s="1">
        <f t="shared" si="79"/>
        <v>477</v>
      </c>
      <c r="E932" s="1">
        <f t="shared" si="80"/>
        <v>400</v>
      </c>
      <c r="F932" s="1">
        <f t="shared" si="81"/>
        <v>0</v>
      </c>
      <c r="G932" s="1">
        <f t="shared" si="82"/>
        <v>2872</v>
      </c>
    </row>
    <row r="933" spans="1:7" x14ac:dyDescent="0.25">
      <c r="A933" s="1">
        <v>932</v>
      </c>
      <c r="B933">
        <v>0.27971575550539174</v>
      </c>
      <c r="C933" s="1">
        <f t="shared" si="78"/>
        <v>145</v>
      </c>
      <c r="D933" s="1">
        <f t="shared" si="79"/>
        <v>356</v>
      </c>
      <c r="E933" s="1">
        <f t="shared" si="80"/>
        <v>356</v>
      </c>
      <c r="F933" s="1">
        <f t="shared" si="81"/>
        <v>44</v>
      </c>
      <c r="G933" s="1">
        <f t="shared" si="82"/>
        <v>2540.2399999999998</v>
      </c>
    </row>
    <row r="934" spans="1:7" x14ac:dyDescent="0.25">
      <c r="A934" s="1">
        <v>933</v>
      </c>
      <c r="B934">
        <v>0.98867548753839429</v>
      </c>
      <c r="C934" s="1">
        <f t="shared" si="78"/>
        <v>3</v>
      </c>
      <c r="D934" s="1">
        <f t="shared" si="79"/>
        <v>498</v>
      </c>
      <c r="E934" s="1">
        <f t="shared" si="80"/>
        <v>400</v>
      </c>
      <c r="F934" s="1">
        <f t="shared" si="81"/>
        <v>0</v>
      </c>
      <c r="G934" s="1">
        <f t="shared" si="82"/>
        <v>2872</v>
      </c>
    </row>
    <row r="935" spans="1:7" x14ac:dyDescent="0.25">
      <c r="A935" s="1">
        <v>934</v>
      </c>
      <c r="B935">
        <v>0.25228918784332766</v>
      </c>
      <c r="C935" s="1">
        <f t="shared" si="78"/>
        <v>151</v>
      </c>
      <c r="D935" s="1">
        <f t="shared" si="79"/>
        <v>350</v>
      </c>
      <c r="E935" s="1">
        <f t="shared" si="80"/>
        <v>350</v>
      </c>
      <c r="F935" s="1">
        <f t="shared" si="81"/>
        <v>50</v>
      </c>
      <c r="G935" s="1">
        <f t="shared" si="82"/>
        <v>2495</v>
      </c>
    </row>
    <row r="936" spans="1:7" x14ac:dyDescent="0.25">
      <c r="A936" s="1">
        <v>935</v>
      </c>
      <c r="B936">
        <v>0.96882105910370286</v>
      </c>
      <c r="C936" s="1">
        <f t="shared" si="78"/>
        <v>7</v>
      </c>
      <c r="D936" s="1">
        <f t="shared" si="79"/>
        <v>494</v>
      </c>
      <c r="E936" s="1">
        <f t="shared" si="80"/>
        <v>400</v>
      </c>
      <c r="F936" s="1">
        <f t="shared" si="81"/>
        <v>0</v>
      </c>
      <c r="G936" s="1">
        <f t="shared" si="82"/>
        <v>2872</v>
      </c>
    </row>
    <row r="937" spans="1:7" x14ac:dyDescent="0.25">
      <c r="A937" s="1">
        <v>936</v>
      </c>
      <c r="B937">
        <v>0.38659171469100162</v>
      </c>
      <c r="C937" s="1">
        <f t="shared" si="78"/>
        <v>124</v>
      </c>
      <c r="D937" s="1">
        <f t="shared" si="79"/>
        <v>377</v>
      </c>
      <c r="E937" s="1">
        <f t="shared" si="80"/>
        <v>377</v>
      </c>
      <c r="F937" s="1">
        <f t="shared" si="81"/>
        <v>23</v>
      </c>
      <c r="G937" s="1">
        <f t="shared" si="82"/>
        <v>2698.58</v>
      </c>
    </row>
    <row r="938" spans="1:7" x14ac:dyDescent="0.25">
      <c r="A938" s="1">
        <v>937</v>
      </c>
      <c r="B938">
        <v>0.66429226308626654</v>
      </c>
      <c r="C938" s="1">
        <f t="shared" si="78"/>
        <v>68</v>
      </c>
      <c r="D938" s="1">
        <f t="shared" si="79"/>
        <v>433</v>
      </c>
      <c r="E938" s="1">
        <f t="shared" si="80"/>
        <v>400</v>
      </c>
      <c r="F938" s="1">
        <f t="shared" si="81"/>
        <v>0</v>
      </c>
      <c r="G938" s="1">
        <f t="shared" si="82"/>
        <v>2872</v>
      </c>
    </row>
    <row r="939" spans="1:7" x14ac:dyDescent="0.25">
      <c r="A939" s="1">
        <v>938</v>
      </c>
      <c r="B939">
        <v>0.54789965481300651</v>
      </c>
      <c r="C939" s="1">
        <f t="shared" si="78"/>
        <v>91</v>
      </c>
      <c r="D939" s="1">
        <f t="shared" si="79"/>
        <v>410</v>
      </c>
      <c r="E939" s="1">
        <f t="shared" si="80"/>
        <v>400</v>
      </c>
      <c r="F939" s="1">
        <f t="shared" si="81"/>
        <v>0</v>
      </c>
      <c r="G939" s="1">
        <f t="shared" si="82"/>
        <v>2872</v>
      </c>
    </row>
    <row r="940" spans="1:7" x14ac:dyDescent="0.25">
      <c r="A940" s="1">
        <v>939</v>
      </c>
      <c r="B940">
        <v>0.78387437992854725</v>
      </c>
      <c r="C940" s="1">
        <f t="shared" si="78"/>
        <v>44</v>
      </c>
      <c r="D940" s="1">
        <f t="shared" si="79"/>
        <v>457</v>
      </c>
      <c r="E940" s="1">
        <f t="shared" si="80"/>
        <v>400</v>
      </c>
      <c r="F940" s="1">
        <f t="shared" si="81"/>
        <v>0</v>
      </c>
      <c r="G940" s="1">
        <f t="shared" si="82"/>
        <v>2872</v>
      </c>
    </row>
    <row r="941" spans="1:7" x14ac:dyDescent="0.25">
      <c r="A941" s="1">
        <v>940</v>
      </c>
      <c r="B941">
        <v>0.32883099976358854</v>
      </c>
      <c r="C941" s="1">
        <f t="shared" si="78"/>
        <v>135</v>
      </c>
      <c r="D941" s="1">
        <f t="shared" si="79"/>
        <v>366</v>
      </c>
      <c r="E941" s="1">
        <f t="shared" si="80"/>
        <v>366</v>
      </c>
      <c r="F941" s="1">
        <f t="shared" si="81"/>
        <v>34</v>
      </c>
      <c r="G941" s="1">
        <f t="shared" si="82"/>
        <v>2615.64</v>
      </c>
    </row>
    <row r="942" spans="1:7" x14ac:dyDescent="0.25">
      <c r="A942" s="1">
        <v>941</v>
      </c>
      <c r="B942">
        <v>0.75100485265982675</v>
      </c>
      <c r="C942" s="1">
        <f t="shared" si="78"/>
        <v>51</v>
      </c>
      <c r="D942" s="1">
        <f t="shared" si="79"/>
        <v>450</v>
      </c>
      <c r="E942" s="1">
        <f t="shared" si="80"/>
        <v>400</v>
      </c>
      <c r="F942" s="1">
        <f t="shared" si="81"/>
        <v>0</v>
      </c>
      <c r="G942" s="1">
        <f t="shared" si="82"/>
        <v>2872</v>
      </c>
    </row>
    <row r="943" spans="1:7" x14ac:dyDescent="0.25">
      <c r="A943" s="1">
        <v>942</v>
      </c>
      <c r="B943">
        <v>6.7328585194895263E-2</v>
      </c>
      <c r="C943" s="1">
        <f t="shared" si="78"/>
        <v>188</v>
      </c>
      <c r="D943" s="1">
        <f t="shared" si="79"/>
        <v>313</v>
      </c>
      <c r="E943" s="1">
        <f t="shared" si="80"/>
        <v>313</v>
      </c>
      <c r="F943" s="1">
        <f t="shared" si="81"/>
        <v>87</v>
      </c>
      <c r="G943" s="1">
        <f t="shared" si="82"/>
        <v>2216.02</v>
      </c>
    </row>
    <row r="944" spans="1:7" x14ac:dyDescent="0.25">
      <c r="A944" s="1">
        <v>943</v>
      </c>
      <c r="B944">
        <v>0.70193212956314621</v>
      </c>
      <c r="C944" s="1">
        <f t="shared" si="78"/>
        <v>60</v>
      </c>
      <c r="D944" s="1">
        <f t="shared" si="79"/>
        <v>441</v>
      </c>
      <c r="E944" s="1">
        <f t="shared" si="80"/>
        <v>400</v>
      </c>
      <c r="F944" s="1">
        <f t="shared" si="81"/>
        <v>0</v>
      </c>
      <c r="G944" s="1">
        <f t="shared" si="82"/>
        <v>2872</v>
      </c>
    </row>
    <row r="945" spans="1:7" x14ac:dyDescent="0.25">
      <c r="A945" s="1">
        <v>944</v>
      </c>
      <c r="B945">
        <v>4.8913559731417755E-2</v>
      </c>
      <c r="C945" s="1">
        <f t="shared" si="78"/>
        <v>192</v>
      </c>
      <c r="D945" s="1">
        <f t="shared" si="79"/>
        <v>309</v>
      </c>
      <c r="E945" s="1">
        <f t="shared" si="80"/>
        <v>309</v>
      </c>
      <c r="F945" s="1">
        <f t="shared" si="81"/>
        <v>91</v>
      </c>
      <c r="G945" s="1">
        <f t="shared" si="82"/>
        <v>2185.86</v>
      </c>
    </row>
    <row r="946" spans="1:7" x14ac:dyDescent="0.25">
      <c r="A946" s="1">
        <v>945</v>
      </c>
      <c r="B946">
        <v>0.37925896488733346</v>
      </c>
      <c r="C946" s="1">
        <f t="shared" si="78"/>
        <v>125</v>
      </c>
      <c r="D946" s="1">
        <f t="shared" si="79"/>
        <v>376</v>
      </c>
      <c r="E946" s="1">
        <f t="shared" si="80"/>
        <v>376</v>
      </c>
      <c r="F946" s="1">
        <f t="shared" si="81"/>
        <v>24</v>
      </c>
      <c r="G946" s="1">
        <f t="shared" si="82"/>
        <v>2691.04</v>
      </c>
    </row>
    <row r="947" spans="1:7" x14ac:dyDescent="0.25">
      <c r="A947" s="1">
        <v>946</v>
      </c>
      <c r="B947">
        <v>0.56119685646888717</v>
      </c>
      <c r="C947" s="1">
        <f t="shared" si="78"/>
        <v>89</v>
      </c>
      <c r="D947" s="1">
        <f t="shared" si="79"/>
        <v>412</v>
      </c>
      <c r="E947" s="1">
        <f t="shared" si="80"/>
        <v>400</v>
      </c>
      <c r="F947" s="1">
        <f t="shared" si="81"/>
        <v>0</v>
      </c>
      <c r="G947" s="1">
        <f t="shared" si="82"/>
        <v>2872</v>
      </c>
    </row>
    <row r="948" spans="1:7" x14ac:dyDescent="0.25">
      <c r="A948" s="1">
        <v>947</v>
      </c>
      <c r="B948">
        <v>0.96552233162733092</v>
      </c>
      <c r="C948" s="1">
        <f t="shared" si="78"/>
        <v>7</v>
      </c>
      <c r="D948" s="1">
        <f t="shared" si="79"/>
        <v>494</v>
      </c>
      <c r="E948" s="1">
        <f t="shared" si="80"/>
        <v>400</v>
      </c>
      <c r="F948" s="1">
        <f t="shared" si="81"/>
        <v>0</v>
      </c>
      <c r="G948" s="1">
        <f t="shared" si="82"/>
        <v>2872</v>
      </c>
    </row>
    <row r="949" spans="1:7" x14ac:dyDescent="0.25">
      <c r="A949" s="1">
        <v>948</v>
      </c>
      <c r="B949">
        <v>8.5668742929347785E-2</v>
      </c>
      <c r="C949" s="1">
        <f t="shared" si="78"/>
        <v>184</v>
      </c>
      <c r="D949" s="1">
        <f t="shared" si="79"/>
        <v>317</v>
      </c>
      <c r="E949" s="1">
        <f t="shared" si="80"/>
        <v>317</v>
      </c>
      <c r="F949" s="1">
        <f t="shared" si="81"/>
        <v>83</v>
      </c>
      <c r="G949" s="1">
        <f t="shared" si="82"/>
        <v>2246.1799999999998</v>
      </c>
    </row>
    <row r="950" spans="1:7" x14ac:dyDescent="0.25">
      <c r="A950" s="1">
        <v>949</v>
      </c>
      <c r="B950">
        <v>0.12379093286511089</v>
      </c>
      <c r="C950" s="1">
        <f t="shared" si="78"/>
        <v>177</v>
      </c>
      <c r="D950" s="1">
        <f t="shared" si="79"/>
        <v>324</v>
      </c>
      <c r="E950" s="1">
        <f t="shared" si="80"/>
        <v>324</v>
      </c>
      <c r="F950" s="1">
        <f t="shared" si="81"/>
        <v>76</v>
      </c>
      <c r="G950" s="1">
        <f t="shared" si="82"/>
        <v>2298.96</v>
      </c>
    </row>
    <row r="951" spans="1:7" x14ac:dyDescent="0.25">
      <c r="A951" s="1">
        <v>950</v>
      </c>
      <c r="B951">
        <v>0.16067319435747096</v>
      </c>
      <c r="C951" s="1">
        <f t="shared" si="78"/>
        <v>169</v>
      </c>
      <c r="D951" s="1">
        <f t="shared" si="79"/>
        <v>332</v>
      </c>
      <c r="E951" s="1">
        <f t="shared" si="80"/>
        <v>332</v>
      </c>
      <c r="F951" s="1">
        <f t="shared" si="81"/>
        <v>68</v>
      </c>
      <c r="G951" s="1">
        <f t="shared" si="82"/>
        <v>2359.2800000000002</v>
      </c>
    </row>
    <row r="952" spans="1:7" x14ac:dyDescent="0.25">
      <c r="A952" s="1">
        <v>951</v>
      </c>
      <c r="B952">
        <v>0.97998619191732617</v>
      </c>
      <c r="C952" s="1">
        <f t="shared" si="78"/>
        <v>5</v>
      </c>
      <c r="D952" s="1">
        <f t="shared" si="79"/>
        <v>496</v>
      </c>
      <c r="E952" s="1">
        <f t="shared" si="80"/>
        <v>400</v>
      </c>
      <c r="F952" s="1">
        <f t="shared" si="81"/>
        <v>0</v>
      </c>
      <c r="G952" s="1">
        <f t="shared" si="82"/>
        <v>2872</v>
      </c>
    </row>
    <row r="953" spans="1:7" x14ac:dyDescent="0.25">
      <c r="A953" s="1">
        <v>952</v>
      </c>
      <c r="B953">
        <v>0.71687750467167322</v>
      </c>
      <c r="C953" s="1">
        <f t="shared" si="78"/>
        <v>57</v>
      </c>
      <c r="D953" s="1">
        <f t="shared" si="79"/>
        <v>444</v>
      </c>
      <c r="E953" s="1">
        <f t="shared" si="80"/>
        <v>400</v>
      </c>
      <c r="F953" s="1">
        <f t="shared" si="81"/>
        <v>0</v>
      </c>
      <c r="G953" s="1">
        <f t="shared" si="82"/>
        <v>2872</v>
      </c>
    </row>
    <row r="954" spans="1:7" x14ac:dyDescent="0.25">
      <c r="A954" s="1">
        <v>953</v>
      </c>
      <c r="B954">
        <v>0.96048040559010528</v>
      </c>
      <c r="C954" s="1">
        <f t="shared" si="78"/>
        <v>8</v>
      </c>
      <c r="D954" s="1">
        <f t="shared" si="79"/>
        <v>493</v>
      </c>
      <c r="E954" s="1">
        <f t="shared" si="80"/>
        <v>400</v>
      </c>
      <c r="F954" s="1">
        <f t="shared" si="81"/>
        <v>0</v>
      </c>
      <c r="G954" s="1">
        <f t="shared" si="82"/>
        <v>2872</v>
      </c>
    </row>
    <row r="955" spans="1:7" x14ac:dyDescent="0.25">
      <c r="A955" s="1">
        <v>954</v>
      </c>
      <c r="B955">
        <v>0.91302607390130353</v>
      </c>
      <c r="C955" s="1">
        <f t="shared" si="78"/>
        <v>18</v>
      </c>
      <c r="D955" s="1">
        <f t="shared" si="79"/>
        <v>483</v>
      </c>
      <c r="E955" s="1">
        <f t="shared" si="80"/>
        <v>400</v>
      </c>
      <c r="F955" s="1">
        <f t="shared" si="81"/>
        <v>0</v>
      </c>
      <c r="G955" s="1">
        <f t="shared" si="82"/>
        <v>2872</v>
      </c>
    </row>
    <row r="956" spans="1:7" x14ac:dyDescent="0.25">
      <c r="A956" s="1">
        <v>955</v>
      </c>
      <c r="B956">
        <v>0.60740253442231462</v>
      </c>
      <c r="C956" s="1">
        <f t="shared" si="78"/>
        <v>79</v>
      </c>
      <c r="D956" s="1">
        <f t="shared" si="79"/>
        <v>422</v>
      </c>
      <c r="E956" s="1">
        <f t="shared" si="80"/>
        <v>400</v>
      </c>
      <c r="F956" s="1">
        <f t="shared" si="81"/>
        <v>0</v>
      </c>
      <c r="G956" s="1">
        <f t="shared" si="82"/>
        <v>2872</v>
      </c>
    </row>
    <row r="957" spans="1:7" x14ac:dyDescent="0.25">
      <c r="A957" s="1">
        <v>956</v>
      </c>
      <c r="B957">
        <v>0.35108797918711598</v>
      </c>
      <c r="C957" s="1">
        <f t="shared" si="78"/>
        <v>131</v>
      </c>
      <c r="D957" s="1">
        <f t="shared" si="79"/>
        <v>370</v>
      </c>
      <c r="E957" s="1">
        <f t="shared" si="80"/>
        <v>370</v>
      </c>
      <c r="F957" s="1">
        <f t="shared" si="81"/>
        <v>30</v>
      </c>
      <c r="G957" s="1">
        <f t="shared" si="82"/>
        <v>2645.8</v>
      </c>
    </row>
    <row r="958" spans="1:7" x14ac:dyDescent="0.25">
      <c r="A958" s="1">
        <v>957</v>
      </c>
      <c r="B958">
        <v>2.9405191808198783E-2</v>
      </c>
      <c r="C958" s="1">
        <f t="shared" si="78"/>
        <v>196</v>
      </c>
      <c r="D958" s="1">
        <f t="shared" si="79"/>
        <v>305</v>
      </c>
      <c r="E958" s="1">
        <f t="shared" si="80"/>
        <v>305</v>
      </c>
      <c r="F958" s="1">
        <f t="shared" si="81"/>
        <v>95</v>
      </c>
      <c r="G958" s="1">
        <f t="shared" si="82"/>
        <v>2155.6999999999998</v>
      </c>
    </row>
    <row r="959" spans="1:7" x14ac:dyDescent="0.25">
      <c r="A959" s="1">
        <v>958</v>
      </c>
      <c r="B959">
        <v>0.89536101390531186</v>
      </c>
      <c r="C959" s="1">
        <f t="shared" si="78"/>
        <v>22</v>
      </c>
      <c r="D959" s="1">
        <f t="shared" si="79"/>
        <v>479</v>
      </c>
      <c r="E959" s="1">
        <f t="shared" si="80"/>
        <v>400</v>
      </c>
      <c r="F959" s="1">
        <f t="shared" si="81"/>
        <v>0</v>
      </c>
      <c r="G959" s="1">
        <f t="shared" si="82"/>
        <v>2872</v>
      </c>
    </row>
    <row r="960" spans="1:7" x14ac:dyDescent="0.25">
      <c r="A960" s="1">
        <v>959</v>
      </c>
      <c r="B960">
        <v>0.24868286250376381</v>
      </c>
      <c r="C960" s="1">
        <f t="shared" si="78"/>
        <v>152</v>
      </c>
      <c r="D960" s="1">
        <f t="shared" si="79"/>
        <v>349</v>
      </c>
      <c r="E960" s="1">
        <f t="shared" si="80"/>
        <v>349</v>
      </c>
      <c r="F960" s="1">
        <f t="shared" si="81"/>
        <v>51</v>
      </c>
      <c r="G960" s="1">
        <f t="shared" si="82"/>
        <v>2487.46</v>
      </c>
    </row>
    <row r="961" spans="1:7" x14ac:dyDescent="0.25">
      <c r="A961" s="1">
        <v>960</v>
      </c>
      <c r="B961">
        <v>0.80506955042901462</v>
      </c>
      <c r="C961" s="1">
        <f t="shared" si="78"/>
        <v>40</v>
      </c>
      <c r="D961" s="1">
        <f t="shared" si="79"/>
        <v>461</v>
      </c>
      <c r="E961" s="1">
        <f t="shared" si="80"/>
        <v>400</v>
      </c>
      <c r="F961" s="1">
        <f t="shared" si="81"/>
        <v>0</v>
      </c>
      <c r="G961" s="1">
        <f t="shared" si="82"/>
        <v>2872</v>
      </c>
    </row>
    <row r="962" spans="1:7" x14ac:dyDescent="0.25">
      <c r="A962" s="1">
        <v>961</v>
      </c>
      <c r="B962">
        <v>0.63140534976121598</v>
      </c>
      <c r="C962" s="1">
        <f t="shared" ref="C962:C1001" si="83">MATCH(B962,$N$2:$N$202,-1)</f>
        <v>75</v>
      </c>
      <c r="D962" s="1">
        <f t="shared" ref="D962:D1001" si="84">INDEX($L$2:$L$202,C962)</f>
        <v>426</v>
      </c>
      <c r="E962" s="1">
        <f t="shared" si="80"/>
        <v>400</v>
      </c>
      <c r="F962" s="1">
        <f t="shared" si="81"/>
        <v>0</v>
      </c>
      <c r="G962" s="1">
        <f t="shared" si="82"/>
        <v>2872</v>
      </c>
    </row>
    <row r="963" spans="1:7" x14ac:dyDescent="0.25">
      <c r="A963" s="1">
        <v>962</v>
      </c>
      <c r="B963">
        <v>0.61256231353948332</v>
      </c>
      <c r="C963" s="1">
        <f t="shared" si="83"/>
        <v>78</v>
      </c>
      <c r="D963" s="1">
        <f t="shared" si="84"/>
        <v>423</v>
      </c>
      <c r="E963" s="1">
        <f t="shared" ref="E963:E1001" si="85">MIN(D963,$I$2)</f>
        <v>400</v>
      </c>
      <c r="F963" s="1">
        <f t="shared" ref="F963:F1001" si="86">$I$2-E963</f>
        <v>0</v>
      </c>
      <c r="G963" s="1">
        <f t="shared" ref="G963:G1001" si="87">7.5*E963-$I$2/25*8-F963/25*1</f>
        <v>2872</v>
      </c>
    </row>
    <row r="964" spans="1:7" x14ac:dyDescent="0.25">
      <c r="A964" s="1">
        <v>963</v>
      </c>
      <c r="B964">
        <v>0.24675967620490513</v>
      </c>
      <c r="C964" s="1">
        <f t="shared" si="83"/>
        <v>152</v>
      </c>
      <c r="D964" s="1">
        <f t="shared" si="84"/>
        <v>349</v>
      </c>
      <c r="E964" s="1">
        <f t="shared" si="85"/>
        <v>349</v>
      </c>
      <c r="F964" s="1">
        <f t="shared" si="86"/>
        <v>51</v>
      </c>
      <c r="G964" s="1">
        <f t="shared" si="87"/>
        <v>2487.46</v>
      </c>
    </row>
    <row r="965" spans="1:7" x14ac:dyDescent="0.25">
      <c r="A965" s="1">
        <v>964</v>
      </c>
      <c r="B965">
        <v>5.8780571888330413E-2</v>
      </c>
      <c r="C965" s="1">
        <f t="shared" si="83"/>
        <v>190</v>
      </c>
      <c r="D965" s="1">
        <f t="shared" si="84"/>
        <v>311</v>
      </c>
      <c r="E965" s="1">
        <f t="shared" si="85"/>
        <v>311</v>
      </c>
      <c r="F965" s="1">
        <f t="shared" si="86"/>
        <v>89</v>
      </c>
      <c r="G965" s="1">
        <f t="shared" si="87"/>
        <v>2200.94</v>
      </c>
    </row>
    <row r="966" spans="1:7" x14ac:dyDescent="0.25">
      <c r="A966" s="1">
        <v>965</v>
      </c>
      <c r="B966">
        <v>0.75328869318476777</v>
      </c>
      <c r="C966" s="1">
        <f t="shared" si="83"/>
        <v>50</v>
      </c>
      <c r="D966" s="1">
        <f t="shared" si="84"/>
        <v>451</v>
      </c>
      <c r="E966" s="1">
        <f t="shared" si="85"/>
        <v>400</v>
      </c>
      <c r="F966" s="1">
        <f t="shared" si="86"/>
        <v>0</v>
      </c>
      <c r="G966" s="1">
        <f t="shared" si="87"/>
        <v>2872</v>
      </c>
    </row>
    <row r="967" spans="1:7" x14ac:dyDescent="0.25">
      <c r="A967" s="1">
        <v>966</v>
      </c>
      <c r="B967">
        <v>0.90632159626045972</v>
      </c>
      <c r="C967" s="1">
        <f t="shared" si="83"/>
        <v>19</v>
      </c>
      <c r="D967" s="1">
        <f t="shared" si="84"/>
        <v>482</v>
      </c>
      <c r="E967" s="1">
        <f t="shared" si="85"/>
        <v>400</v>
      </c>
      <c r="F967" s="1">
        <f t="shared" si="86"/>
        <v>0</v>
      </c>
      <c r="G967" s="1">
        <f t="shared" si="87"/>
        <v>2872</v>
      </c>
    </row>
    <row r="968" spans="1:7" x14ac:dyDescent="0.25">
      <c r="A968" s="1">
        <v>967</v>
      </c>
      <c r="B968">
        <v>0.89742913617392128</v>
      </c>
      <c r="C968" s="1">
        <f t="shared" si="83"/>
        <v>21</v>
      </c>
      <c r="D968" s="1">
        <f t="shared" si="84"/>
        <v>480</v>
      </c>
      <c r="E968" s="1">
        <f t="shared" si="85"/>
        <v>400</v>
      </c>
      <c r="F968" s="1">
        <f t="shared" si="86"/>
        <v>0</v>
      </c>
      <c r="G968" s="1">
        <f t="shared" si="87"/>
        <v>2872</v>
      </c>
    </row>
    <row r="969" spans="1:7" x14ac:dyDescent="0.25">
      <c r="A969" s="1">
        <v>968</v>
      </c>
      <c r="B969">
        <v>0.78362828639490356</v>
      </c>
      <c r="C969" s="1">
        <f t="shared" si="83"/>
        <v>44</v>
      </c>
      <c r="D969" s="1">
        <f t="shared" si="84"/>
        <v>457</v>
      </c>
      <c r="E969" s="1">
        <f t="shared" si="85"/>
        <v>400</v>
      </c>
      <c r="F969" s="1">
        <f t="shared" si="86"/>
        <v>0</v>
      </c>
      <c r="G969" s="1">
        <f t="shared" si="87"/>
        <v>2872</v>
      </c>
    </row>
    <row r="970" spans="1:7" x14ac:dyDescent="0.25">
      <c r="A970" s="1">
        <v>969</v>
      </c>
      <c r="B970">
        <v>0.87636674615333232</v>
      </c>
      <c r="C970" s="1">
        <f t="shared" si="83"/>
        <v>25</v>
      </c>
      <c r="D970" s="1">
        <f t="shared" si="84"/>
        <v>476</v>
      </c>
      <c r="E970" s="1">
        <f t="shared" si="85"/>
        <v>400</v>
      </c>
      <c r="F970" s="1">
        <f t="shared" si="86"/>
        <v>0</v>
      </c>
      <c r="G970" s="1">
        <f t="shared" si="87"/>
        <v>2872</v>
      </c>
    </row>
    <row r="971" spans="1:7" x14ac:dyDescent="0.25">
      <c r="A971" s="1">
        <v>970</v>
      </c>
      <c r="B971">
        <v>6.4904792550794399E-2</v>
      </c>
      <c r="C971" s="1">
        <f t="shared" si="83"/>
        <v>188</v>
      </c>
      <c r="D971" s="1">
        <f t="shared" si="84"/>
        <v>313</v>
      </c>
      <c r="E971" s="1">
        <f t="shared" si="85"/>
        <v>313</v>
      </c>
      <c r="F971" s="1">
        <f t="shared" si="86"/>
        <v>87</v>
      </c>
      <c r="G971" s="1">
        <f t="shared" si="87"/>
        <v>2216.02</v>
      </c>
    </row>
    <row r="972" spans="1:7" x14ac:dyDescent="0.25">
      <c r="A972" s="1">
        <v>971</v>
      </c>
      <c r="B972">
        <v>0.98824409755500364</v>
      </c>
      <c r="C972" s="1">
        <f t="shared" si="83"/>
        <v>3</v>
      </c>
      <c r="D972" s="1">
        <f t="shared" si="84"/>
        <v>498</v>
      </c>
      <c r="E972" s="1">
        <f t="shared" si="85"/>
        <v>400</v>
      </c>
      <c r="F972" s="1">
        <f t="shared" si="86"/>
        <v>0</v>
      </c>
      <c r="G972" s="1">
        <f t="shared" si="87"/>
        <v>2872</v>
      </c>
    </row>
    <row r="973" spans="1:7" x14ac:dyDescent="0.25">
      <c r="A973" s="1">
        <v>972</v>
      </c>
      <c r="B973">
        <v>0.39158830245904341</v>
      </c>
      <c r="C973" s="1">
        <f t="shared" si="83"/>
        <v>123</v>
      </c>
      <c r="D973" s="1">
        <f t="shared" si="84"/>
        <v>378</v>
      </c>
      <c r="E973" s="1">
        <f t="shared" si="85"/>
        <v>378</v>
      </c>
      <c r="F973" s="1">
        <f t="shared" si="86"/>
        <v>22</v>
      </c>
      <c r="G973" s="1">
        <f t="shared" si="87"/>
        <v>2706.12</v>
      </c>
    </row>
    <row r="974" spans="1:7" x14ac:dyDescent="0.25">
      <c r="A974" s="1">
        <v>973</v>
      </c>
      <c r="B974">
        <v>0.53711110014899444</v>
      </c>
      <c r="C974" s="1">
        <f t="shared" si="83"/>
        <v>94</v>
      </c>
      <c r="D974" s="1">
        <f t="shared" si="84"/>
        <v>407</v>
      </c>
      <c r="E974" s="1">
        <f t="shared" si="85"/>
        <v>400</v>
      </c>
      <c r="F974" s="1">
        <f t="shared" si="86"/>
        <v>0</v>
      </c>
      <c r="G974" s="1">
        <f t="shared" si="87"/>
        <v>2872</v>
      </c>
    </row>
    <row r="975" spans="1:7" x14ac:dyDescent="0.25">
      <c r="A975" s="1">
        <v>974</v>
      </c>
      <c r="B975">
        <v>0.42161567211194551</v>
      </c>
      <c r="C975" s="1">
        <f t="shared" si="83"/>
        <v>117</v>
      </c>
      <c r="D975" s="1">
        <f t="shared" si="84"/>
        <v>384</v>
      </c>
      <c r="E975" s="1">
        <f t="shared" si="85"/>
        <v>384</v>
      </c>
      <c r="F975" s="1">
        <f t="shared" si="86"/>
        <v>16</v>
      </c>
      <c r="G975" s="1">
        <f t="shared" si="87"/>
        <v>2751.36</v>
      </c>
    </row>
    <row r="976" spans="1:7" x14ac:dyDescent="0.25">
      <c r="A976" s="1">
        <v>975</v>
      </c>
      <c r="B976">
        <v>0.30079961357717366</v>
      </c>
      <c r="C976" s="1">
        <f t="shared" si="83"/>
        <v>141</v>
      </c>
      <c r="D976" s="1">
        <f t="shared" si="84"/>
        <v>360</v>
      </c>
      <c r="E976" s="1">
        <f t="shared" si="85"/>
        <v>360</v>
      </c>
      <c r="F976" s="1">
        <f t="shared" si="86"/>
        <v>40</v>
      </c>
      <c r="G976" s="1">
        <f t="shared" si="87"/>
        <v>2570.4</v>
      </c>
    </row>
    <row r="977" spans="1:7" x14ac:dyDescent="0.25">
      <c r="A977" s="1">
        <v>976</v>
      </c>
      <c r="B977">
        <v>0.64668530687318215</v>
      </c>
      <c r="C977" s="1">
        <f t="shared" si="83"/>
        <v>72</v>
      </c>
      <c r="D977" s="1">
        <f t="shared" si="84"/>
        <v>429</v>
      </c>
      <c r="E977" s="1">
        <f t="shared" si="85"/>
        <v>400</v>
      </c>
      <c r="F977" s="1">
        <f t="shared" si="86"/>
        <v>0</v>
      </c>
      <c r="G977" s="1">
        <f t="shared" si="87"/>
        <v>2872</v>
      </c>
    </row>
    <row r="978" spans="1:7" x14ac:dyDescent="0.25">
      <c r="A978" s="1">
        <v>977</v>
      </c>
      <c r="B978">
        <v>0.96548390834761333</v>
      </c>
      <c r="C978" s="1">
        <f t="shared" si="83"/>
        <v>7</v>
      </c>
      <c r="D978" s="1">
        <f t="shared" si="84"/>
        <v>494</v>
      </c>
      <c r="E978" s="1">
        <f t="shared" si="85"/>
        <v>400</v>
      </c>
      <c r="F978" s="1">
        <f t="shared" si="86"/>
        <v>0</v>
      </c>
      <c r="G978" s="1">
        <f t="shared" si="87"/>
        <v>2872</v>
      </c>
    </row>
    <row r="979" spans="1:7" x14ac:dyDescent="0.25">
      <c r="A979" s="1">
        <v>978</v>
      </c>
      <c r="B979">
        <v>0.48311355435499503</v>
      </c>
      <c r="C979" s="1">
        <f t="shared" si="83"/>
        <v>104</v>
      </c>
      <c r="D979" s="1">
        <f t="shared" si="84"/>
        <v>397</v>
      </c>
      <c r="E979" s="1">
        <f t="shared" si="85"/>
        <v>397</v>
      </c>
      <c r="F979" s="1">
        <f t="shared" si="86"/>
        <v>3</v>
      </c>
      <c r="G979" s="1">
        <f t="shared" si="87"/>
        <v>2849.38</v>
      </c>
    </row>
    <row r="980" spans="1:7" x14ac:dyDescent="0.25">
      <c r="A980" s="1">
        <v>979</v>
      </c>
      <c r="B980">
        <v>0.8055495071746821</v>
      </c>
      <c r="C980" s="1">
        <f t="shared" si="83"/>
        <v>40</v>
      </c>
      <c r="D980" s="1">
        <f t="shared" si="84"/>
        <v>461</v>
      </c>
      <c r="E980" s="1">
        <f t="shared" si="85"/>
        <v>400</v>
      </c>
      <c r="F980" s="1">
        <f t="shared" si="86"/>
        <v>0</v>
      </c>
      <c r="G980" s="1">
        <f t="shared" si="87"/>
        <v>2872</v>
      </c>
    </row>
    <row r="981" spans="1:7" x14ac:dyDescent="0.25">
      <c r="A981" s="1">
        <v>980</v>
      </c>
      <c r="B981">
        <v>0.94685757050578301</v>
      </c>
      <c r="C981" s="1">
        <f t="shared" si="83"/>
        <v>11</v>
      </c>
      <c r="D981" s="1">
        <f t="shared" si="84"/>
        <v>490</v>
      </c>
      <c r="E981" s="1">
        <f t="shared" si="85"/>
        <v>400</v>
      </c>
      <c r="F981" s="1">
        <f t="shared" si="86"/>
        <v>0</v>
      </c>
      <c r="G981" s="1">
        <f t="shared" si="87"/>
        <v>2872</v>
      </c>
    </row>
    <row r="982" spans="1:7" x14ac:dyDescent="0.25">
      <c r="A982" s="1">
        <v>981</v>
      </c>
      <c r="B982">
        <v>0.54826935971495272</v>
      </c>
      <c r="C982" s="1">
        <f t="shared" si="83"/>
        <v>91</v>
      </c>
      <c r="D982" s="1">
        <f t="shared" si="84"/>
        <v>410</v>
      </c>
      <c r="E982" s="1">
        <f t="shared" si="85"/>
        <v>400</v>
      </c>
      <c r="F982" s="1">
        <f t="shared" si="86"/>
        <v>0</v>
      </c>
      <c r="G982" s="1">
        <f t="shared" si="87"/>
        <v>2872</v>
      </c>
    </row>
    <row r="983" spans="1:7" x14ac:dyDescent="0.25">
      <c r="A983" s="1">
        <v>982</v>
      </c>
      <c r="B983">
        <v>0.20765982099341473</v>
      </c>
      <c r="C983" s="1">
        <f t="shared" si="83"/>
        <v>160</v>
      </c>
      <c r="D983" s="1">
        <f t="shared" si="84"/>
        <v>341</v>
      </c>
      <c r="E983" s="1">
        <f t="shared" si="85"/>
        <v>341</v>
      </c>
      <c r="F983" s="1">
        <f t="shared" si="86"/>
        <v>59</v>
      </c>
      <c r="G983" s="1">
        <f t="shared" si="87"/>
        <v>2427.14</v>
      </c>
    </row>
    <row r="984" spans="1:7" x14ac:dyDescent="0.25">
      <c r="A984" s="1">
        <v>983</v>
      </c>
      <c r="B984">
        <v>0.47669821270504598</v>
      </c>
      <c r="C984" s="1">
        <f t="shared" si="83"/>
        <v>106</v>
      </c>
      <c r="D984" s="1">
        <f t="shared" si="84"/>
        <v>395</v>
      </c>
      <c r="E984" s="1">
        <f t="shared" si="85"/>
        <v>395</v>
      </c>
      <c r="F984" s="1">
        <f t="shared" si="86"/>
        <v>5</v>
      </c>
      <c r="G984" s="1">
        <f t="shared" si="87"/>
        <v>2834.3</v>
      </c>
    </row>
    <row r="985" spans="1:7" x14ac:dyDescent="0.25">
      <c r="A985" s="1">
        <v>984</v>
      </c>
      <c r="B985">
        <v>0.13148898230939743</v>
      </c>
      <c r="C985" s="1">
        <f t="shared" si="83"/>
        <v>175</v>
      </c>
      <c r="D985" s="1">
        <f t="shared" si="84"/>
        <v>326</v>
      </c>
      <c r="E985" s="1">
        <f t="shared" si="85"/>
        <v>326</v>
      </c>
      <c r="F985" s="1">
        <f t="shared" si="86"/>
        <v>74</v>
      </c>
      <c r="G985" s="1">
        <f t="shared" si="87"/>
        <v>2314.04</v>
      </c>
    </row>
    <row r="986" spans="1:7" x14ac:dyDescent="0.25">
      <c r="A986" s="1">
        <v>985</v>
      </c>
      <c r="B986">
        <v>0.19732911668281727</v>
      </c>
      <c r="C986" s="1">
        <f t="shared" si="83"/>
        <v>162</v>
      </c>
      <c r="D986" s="1">
        <f t="shared" si="84"/>
        <v>339</v>
      </c>
      <c r="E986" s="1">
        <f t="shared" si="85"/>
        <v>339</v>
      </c>
      <c r="F986" s="1">
        <f t="shared" si="86"/>
        <v>61</v>
      </c>
      <c r="G986" s="1">
        <f t="shared" si="87"/>
        <v>2412.06</v>
      </c>
    </row>
    <row r="987" spans="1:7" x14ac:dyDescent="0.25">
      <c r="A987" s="1">
        <v>986</v>
      </c>
      <c r="B987">
        <v>0.26317507584575917</v>
      </c>
      <c r="C987" s="1">
        <f t="shared" si="83"/>
        <v>149</v>
      </c>
      <c r="D987" s="1">
        <f t="shared" si="84"/>
        <v>352</v>
      </c>
      <c r="E987" s="1">
        <f t="shared" si="85"/>
        <v>352</v>
      </c>
      <c r="F987" s="1">
        <f t="shared" si="86"/>
        <v>48</v>
      </c>
      <c r="G987" s="1">
        <f t="shared" si="87"/>
        <v>2510.08</v>
      </c>
    </row>
    <row r="988" spans="1:7" x14ac:dyDescent="0.25">
      <c r="A988" s="1">
        <v>987</v>
      </c>
      <c r="B988">
        <v>0.98824580232076109</v>
      </c>
      <c r="C988" s="1">
        <f t="shared" si="83"/>
        <v>3</v>
      </c>
      <c r="D988" s="1">
        <f t="shared" si="84"/>
        <v>498</v>
      </c>
      <c r="E988" s="1">
        <f t="shared" si="85"/>
        <v>400</v>
      </c>
      <c r="F988" s="1">
        <f t="shared" si="86"/>
        <v>0</v>
      </c>
      <c r="G988" s="1">
        <f t="shared" si="87"/>
        <v>2872</v>
      </c>
    </row>
    <row r="989" spans="1:7" x14ac:dyDescent="0.25">
      <c r="A989" s="1">
        <v>988</v>
      </c>
      <c r="B989">
        <v>8.7013512205275867E-2</v>
      </c>
      <c r="C989" s="1">
        <f t="shared" si="83"/>
        <v>184</v>
      </c>
      <c r="D989" s="1">
        <f t="shared" si="84"/>
        <v>317</v>
      </c>
      <c r="E989" s="1">
        <f t="shared" si="85"/>
        <v>317</v>
      </c>
      <c r="F989" s="1">
        <f t="shared" si="86"/>
        <v>83</v>
      </c>
      <c r="G989" s="1">
        <f t="shared" si="87"/>
        <v>2246.1799999999998</v>
      </c>
    </row>
    <row r="990" spans="1:7" x14ac:dyDescent="0.25">
      <c r="A990" s="1">
        <v>989</v>
      </c>
      <c r="B990">
        <v>0.45412232156069987</v>
      </c>
      <c r="C990" s="1">
        <f t="shared" si="83"/>
        <v>110</v>
      </c>
      <c r="D990" s="1">
        <f t="shared" si="84"/>
        <v>391</v>
      </c>
      <c r="E990" s="1">
        <f t="shared" si="85"/>
        <v>391</v>
      </c>
      <c r="F990" s="1">
        <f t="shared" si="86"/>
        <v>9</v>
      </c>
      <c r="G990" s="1">
        <f t="shared" si="87"/>
        <v>2804.14</v>
      </c>
    </row>
    <row r="991" spans="1:7" x14ac:dyDescent="0.25">
      <c r="A991" s="1">
        <v>990</v>
      </c>
      <c r="B991">
        <v>0.20721026845175594</v>
      </c>
      <c r="C991" s="1">
        <f t="shared" si="83"/>
        <v>160</v>
      </c>
      <c r="D991" s="1">
        <f t="shared" si="84"/>
        <v>341</v>
      </c>
      <c r="E991" s="1">
        <f t="shared" si="85"/>
        <v>341</v>
      </c>
      <c r="F991" s="1">
        <f t="shared" si="86"/>
        <v>59</v>
      </c>
      <c r="G991" s="1">
        <f t="shared" si="87"/>
        <v>2427.14</v>
      </c>
    </row>
    <row r="992" spans="1:7" x14ac:dyDescent="0.25">
      <c r="A992" s="1">
        <v>991</v>
      </c>
      <c r="B992">
        <v>0.58752877512188828</v>
      </c>
      <c r="C992" s="1">
        <f t="shared" si="83"/>
        <v>83</v>
      </c>
      <c r="D992" s="1">
        <f t="shared" si="84"/>
        <v>418</v>
      </c>
      <c r="E992" s="1">
        <f t="shared" si="85"/>
        <v>400</v>
      </c>
      <c r="F992" s="1">
        <f t="shared" si="86"/>
        <v>0</v>
      </c>
      <c r="G992" s="1">
        <f t="shared" si="87"/>
        <v>2872</v>
      </c>
    </row>
    <row r="993" spans="1:7" x14ac:dyDescent="0.25">
      <c r="A993" s="1">
        <v>992</v>
      </c>
      <c r="B993">
        <v>4.0219442985032217E-3</v>
      </c>
      <c r="C993" s="1">
        <f t="shared" si="83"/>
        <v>201</v>
      </c>
      <c r="D993" s="1">
        <f t="shared" si="84"/>
        <v>300</v>
      </c>
      <c r="E993" s="1">
        <f t="shared" si="85"/>
        <v>300</v>
      </c>
      <c r="F993" s="1">
        <f t="shared" si="86"/>
        <v>100</v>
      </c>
      <c r="G993" s="1">
        <f t="shared" si="87"/>
        <v>2118</v>
      </c>
    </row>
    <row r="994" spans="1:7" x14ac:dyDescent="0.25">
      <c r="A994" s="1">
        <v>993</v>
      </c>
      <c r="B994">
        <v>0.17045630910466925</v>
      </c>
      <c r="C994" s="1">
        <f t="shared" si="83"/>
        <v>167</v>
      </c>
      <c r="D994" s="1">
        <f t="shared" si="84"/>
        <v>334</v>
      </c>
      <c r="E994" s="1">
        <f t="shared" si="85"/>
        <v>334</v>
      </c>
      <c r="F994" s="1">
        <f t="shared" si="86"/>
        <v>66</v>
      </c>
      <c r="G994" s="1">
        <f t="shared" si="87"/>
        <v>2374.36</v>
      </c>
    </row>
    <row r="995" spans="1:7" x14ac:dyDescent="0.25">
      <c r="A995" s="1">
        <v>994</v>
      </c>
      <c r="B995">
        <v>0.91287632143008757</v>
      </c>
      <c r="C995" s="1">
        <f t="shared" si="83"/>
        <v>18</v>
      </c>
      <c r="D995" s="1">
        <f t="shared" si="84"/>
        <v>483</v>
      </c>
      <c r="E995" s="1">
        <f t="shared" si="85"/>
        <v>400</v>
      </c>
      <c r="F995" s="1">
        <f t="shared" si="86"/>
        <v>0</v>
      </c>
      <c r="G995" s="1">
        <f t="shared" si="87"/>
        <v>2872</v>
      </c>
    </row>
    <row r="996" spans="1:7" x14ac:dyDescent="0.25">
      <c r="A996" s="1">
        <v>995</v>
      </c>
      <c r="B996">
        <v>0.66352970566017566</v>
      </c>
      <c r="C996" s="1">
        <f t="shared" si="83"/>
        <v>68</v>
      </c>
      <c r="D996" s="1">
        <f t="shared" si="84"/>
        <v>433</v>
      </c>
      <c r="E996" s="1">
        <f t="shared" si="85"/>
        <v>400</v>
      </c>
      <c r="F996" s="1">
        <f t="shared" si="86"/>
        <v>0</v>
      </c>
      <c r="G996" s="1">
        <f t="shared" si="87"/>
        <v>2872</v>
      </c>
    </row>
    <row r="997" spans="1:7" x14ac:dyDescent="0.25">
      <c r="A997" s="1">
        <v>996</v>
      </c>
      <c r="B997">
        <v>0.54622021782738495</v>
      </c>
      <c r="C997" s="1">
        <f t="shared" si="83"/>
        <v>92</v>
      </c>
      <c r="D997" s="1">
        <f t="shared" si="84"/>
        <v>409</v>
      </c>
      <c r="E997" s="1">
        <f t="shared" si="85"/>
        <v>400</v>
      </c>
      <c r="F997" s="1">
        <f t="shared" si="86"/>
        <v>0</v>
      </c>
      <c r="G997" s="1">
        <f t="shared" si="87"/>
        <v>2872</v>
      </c>
    </row>
    <row r="998" spans="1:7" x14ac:dyDescent="0.25">
      <c r="A998" s="1">
        <v>997</v>
      </c>
      <c r="B998">
        <v>9.3357615801791027E-2</v>
      </c>
      <c r="C998" s="1">
        <f t="shared" si="83"/>
        <v>183</v>
      </c>
      <c r="D998" s="1">
        <f t="shared" si="84"/>
        <v>318</v>
      </c>
      <c r="E998" s="1">
        <f t="shared" si="85"/>
        <v>318</v>
      </c>
      <c r="F998" s="1">
        <f t="shared" si="86"/>
        <v>82</v>
      </c>
      <c r="G998" s="1">
        <f t="shared" si="87"/>
        <v>2253.7199999999998</v>
      </c>
    </row>
    <row r="999" spans="1:7" x14ac:dyDescent="0.25">
      <c r="A999" s="1">
        <v>998</v>
      </c>
      <c r="B999">
        <v>0.7961721717470821</v>
      </c>
      <c r="C999" s="1">
        <f t="shared" si="83"/>
        <v>41</v>
      </c>
      <c r="D999" s="1">
        <f t="shared" si="84"/>
        <v>460</v>
      </c>
      <c r="E999" s="1">
        <f t="shared" si="85"/>
        <v>400</v>
      </c>
      <c r="F999" s="1">
        <f t="shared" si="86"/>
        <v>0</v>
      </c>
      <c r="G999" s="1">
        <f t="shared" si="87"/>
        <v>2872</v>
      </c>
    </row>
    <row r="1000" spans="1:7" x14ac:dyDescent="0.25">
      <c r="A1000" s="1">
        <v>999</v>
      </c>
      <c r="B1000">
        <v>2.7014207212056718E-2</v>
      </c>
      <c r="C1000" s="1">
        <f t="shared" si="83"/>
        <v>196</v>
      </c>
      <c r="D1000" s="1">
        <f t="shared" si="84"/>
        <v>305</v>
      </c>
      <c r="E1000" s="1">
        <f t="shared" si="85"/>
        <v>305</v>
      </c>
      <c r="F1000" s="1">
        <f t="shared" si="86"/>
        <v>95</v>
      </c>
      <c r="G1000" s="1">
        <f t="shared" si="87"/>
        <v>2155.6999999999998</v>
      </c>
    </row>
    <row r="1001" spans="1:7" x14ac:dyDescent="0.25">
      <c r="A1001" s="1">
        <v>1000</v>
      </c>
      <c r="B1001">
        <v>0.85241643988175575</v>
      </c>
      <c r="C1001" s="1">
        <f t="shared" si="83"/>
        <v>30</v>
      </c>
      <c r="D1001" s="1">
        <f t="shared" si="84"/>
        <v>471</v>
      </c>
      <c r="E1001" s="1">
        <f t="shared" si="85"/>
        <v>400</v>
      </c>
      <c r="F1001" s="1">
        <f t="shared" si="86"/>
        <v>0</v>
      </c>
      <c r="G1001" s="1">
        <f t="shared" si="87"/>
        <v>2872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09D3C-2FF1-4FDF-BBC0-71B29167D8AF}">
  <sheetPr>
    <tabColor rgb="FFFFC000"/>
  </sheetPr>
  <dimension ref="A1:I1001"/>
  <sheetViews>
    <sheetView workbookViewId="0">
      <selection activeCell="M24" sqref="M24"/>
    </sheetView>
  </sheetViews>
  <sheetFormatPr defaultRowHeight="13.8" x14ac:dyDescent="0.25"/>
  <cols>
    <col min="1" max="1" width="8.88671875" style="1"/>
    <col min="3" max="3" width="11.88671875" customWidth="1"/>
    <col min="6" max="6" width="7.5546875" bestFit="1" customWidth="1"/>
  </cols>
  <sheetData>
    <row r="1" spans="1:9" ht="15.6" x14ac:dyDescent="0.3">
      <c r="A1" s="1" t="s">
        <v>0</v>
      </c>
      <c r="B1" t="s">
        <v>14</v>
      </c>
      <c r="C1" t="s">
        <v>15</v>
      </c>
      <c r="D1" s="2" t="s">
        <v>10</v>
      </c>
      <c r="E1" s="2" t="s">
        <v>4</v>
      </c>
      <c r="F1" s="3" t="s">
        <v>5</v>
      </c>
      <c r="G1" s="4"/>
      <c r="H1" s="5" t="s">
        <v>6</v>
      </c>
      <c r="I1" s="5" t="s">
        <v>11</v>
      </c>
    </row>
    <row r="2" spans="1:9" x14ac:dyDescent="0.25">
      <c r="A2" s="1">
        <v>1</v>
      </c>
      <c r="B2">
        <v>0.13257052467765795</v>
      </c>
      <c r="C2">
        <f>_xlfn.NORM.INV(B2,75,25)</f>
        <v>47.1419486692254</v>
      </c>
      <c r="D2" s="1">
        <f>MIN(ROUND(C2,0),$H$2)</f>
        <v>47</v>
      </c>
      <c r="E2" s="1">
        <f>$H$2-D2</f>
        <v>28</v>
      </c>
      <c r="F2" s="1">
        <f>7*D2-$H$2/25*8-E2/25*1</f>
        <v>303.88</v>
      </c>
      <c r="G2" s="1"/>
      <c r="H2">
        <v>75</v>
      </c>
      <c r="I2">
        <f>AVERAGE(F2:F1001)</f>
        <v>429.49471999999975</v>
      </c>
    </row>
    <row r="3" spans="1:9" x14ac:dyDescent="0.25">
      <c r="A3" s="1">
        <v>2</v>
      </c>
      <c r="B3">
        <v>0.41849188505657731</v>
      </c>
      <c r="C3">
        <f t="shared" ref="C3:C66" si="0">_xlfn.NORM.INV(B3,75,25)</f>
        <v>69.856172246270987</v>
      </c>
      <c r="D3" s="1">
        <f t="shared" ref="D3:D66" si="1">MIN(ROUND(C3,0),$H$2)</f>
        <v>70</v>
      </c>
      <c r="E3" s="1">
        <f t="shared" ref="E3:E66" si="2">$H$2-D3</f>
        <v>5</v>
      </c>
      <c r="F3" s="1">
        <f t="shared" ref="F3:F66" si="3">7*D3-$H$2/25*8-E3/25*1</f>
        <v>465.8</v>
      </c>
      <c r="H3">
        <v>50</v>
      </c>
      <c r="I3">
        <f t="dataTable" ref="I3:I13" dt2D="0" dtr="0" r1="H2"/>
        <v>319.46240000000023</v>
      </c>
    </row>
    <row r="4" spans="1:9" x14ac:dyDescent="0.25">
      <c r="A4" s="1">
        <v>3</v>
      </c>
      <c r="B4">
        <v>0.15756890501966303</v>
      </c>
      <c r="C4">
        <f t="shared" si="0"/>
        <v>49.887507203033735</v>
      </c>
      <c r="D4" s="1">
        <f t="shared" si="1"/>
        <v>50</v>
      </c>
      <c r="E4" s="1">
        <f t="shared" si="2"/>
        <v>25</v>
      </c>
      <c r="F4" s="1">
        <f t="shared" si="3"/>
        <v>325</v>
      </c>
      <c r="H4">
        <v>60</v>
      </c>
      <c r="I4">
        <v>370.971519999995</v>
      </c>
    </row>
    <row r="5" spans="1:9" x14ac:dyDescent="0.25">
      <c r="A5" s="1">
        <v>4</v>
      </c>
      <c r="B5">
        <v>0.17295842185722543</v>
      </c>
      <c r="C5">
        <f t="shared" si="0"/>
        <v>51.436529395116835</v>
      </c>
      <c r="D5" s="1">
        <f t="shared" si="1"/>
        <v>51</v>
      </c>
      <c r="E5" s="1">
        <f t="shared" si="2"/>
        <v>24</v>
      </c>
      <c r="F5" s="1">
        <f t="shared" si="3"/>
        <v>332.04</v>
      </c>
      <c r="H5">
        <v>70</v>
      </c>
      <c r="I5">
        <v>412.81471999999695</v>
      </c>
    </row>
    <row r="6" spans="1:9" x14ac:dyDescent="0.25">
      <c r="A6" s="1">
        <v>5</v>
      </c>
      <c r="B6">
        <v>0.95248661744018159</v>
      </c>
      <c r="C6">
        <f t="shared" si="0"/>
        <v>116.73643513324635</v>
      </c>
      <c r="D6" s="1">
        <f t="shared" si="1"/>
        <v>75</v>
      </c>
      <c r="E6" s="1">
        <f t="shared" si="2"/>
        <v>0</v>
      </c>
      <c r="F6" s="1">
        <f t="shared" si="3"/>
        <v>501</v>
      </c>
      <c r="H6">
        <v>80</v>
      </c>
      <c r="I6">
        <v>443.49248000000284</v>
      </c>
    </row>
    <row r="7" spans="1:9" x14ac:dyDescent="0.25">
      <c r="A7" s="1">
        <v>6</v>
      </c>
      <c r="B7">
        <v>0.8510032414204598</v>
      </c>
      <c r="C7">
        <f t="shared" si="0"/>
        <v>101.01864627435684</v>
      </c>
      <c r="D7" s="1">
        <f t="shared" si="1"/>
        <v>75</v>
      </c>
      <c r="E7" s="1">
        <f t="shared" si="2"/>
        <v>0</v>
      </c>
      <c r="F7" s="1">
        <f t="shared" si="3"/>
        <v>501</v>
      </c>
      <c r="H7">
        <v>90</v>
      </c>
      <c r="I7">
        <v>463.18784000000221</v>
      </c>
    </row>
    <row r="8" spans="1:9" x14ac:dyDescent="0.25">
      <c r="A8" s="1">
        <v>7</v>
      </c>
      <c r="B8">
        <v>0.46870656819376921</v>
      </c>
      <c r="C8">
        <f t="shared" si="0"/>
        <v>73.036959605117261</v>
      </c>
      <c r="D8" s="1">
        <f t="shared" si="1"/>
        <v>73</v>
      </c>
      <c r="E8" s="1">
        <f t="shared" si="2"/>
        <v>2</v>
      </c>
      <c r="F8" s="1">
        <f t="shared" si="3"/>
        <v>486.92</v>
      </c>
      <c r="H8">
        <v>100</v>
      </c>
      <c r="I8">
        <v>474.34367999999944</v>
      </c>
    </row>
    <row r="9" spans="1:9" x14ac:dyDescent="0.25">
      <c r="A9" s="1">
        <v>8</v>
      </c>
      <c r="B9">
        <v>0.83525530876985277</v>
      </c>
      <c r="C9">
        <f t="shared" si="0"/>
        <v>99.378572433809865</v>
      </c>
      <c r="D9" s="1">
        <f t="shared" si="1"/>
        <v>75</v>
      </c>
      <c r="E9" s="1">
        <f t="shared" si="2"/>
        <v>0</v>
      </c>
      <c r="F9" s="1">
        <f t="shared" si="3"/>
        <v>501</v>
      </c>
      <c r="H9">
        <v>110</v>
      </c>
      <c r="I9">
        <v>478.58623999999935</v>
      </c>
    </row>
    <row r="10" spans="1:9" x14ac:dyDescent="0.25">
      <c r="A10" s="1">
        <v>9</v>
      </c>
      <c r="B10">
        <v>0.80036458786087872</v>
      </c>
      <c r="C10">
        <f t="shared" si="0"/>
        <v>96.073105618436159</v>
      </c>
      <c r="D10" s="1">
        <f t="shared" si="1"/>
        <v>75</v>
      </c>
      <c r="E10" s="1">
        <f t="shared" si="2"/>
        <v>0</v>
      </c>
      <c r="F10" s="1">
        <f t="shared" si="3"/>
        <v>501</v>
      </c>
      <c r="H10">
        <v>120</v>
      </c>
      <c r="I10">
        <v>478.79487999999964</v>
      </c>
    </row>
    <row r="11" spans="1:9" x14ac:dyDescent="0.25">
      <c r="A11" s="1">
        <v>10</v>
      </c>
      <c r="B11">
        <v>6.3880293294395485E-2</v>
      </c>
      <c r="C11">
        <f t="shared" si="0"/>
        <v>36.925187976284278</v>
      </c>
      <c r="D11" s="1">
        <f t="shared" si="1"/>
        <v>37</v>
      </c>
      <c r="E11" s="1">
        <f t="shared" si="2"/>
        <v>38</v>
      </c>
      <c r="F11" s="1">
        <f t="shared" si="3"/>
        <v>233.48</v>
      </c>
      <c r="H11">
        <v>130</v>
      </c>
      <c r="I11">
        <v>476.97600000000017</v>
      </c>
    </row>
    <row r="12" spans="1:9" x14ac:dyDescent="0.25">
      <c r="A12" s="1">
        <v>11</v>
      </c>
      <c r="B12">
        <v>0.99991680369982783</v>
      </c>
      <c r="C12">
        <f t="shared" si="0"/>
        <v>169.13087174268591</v>
      </c>
      <c r="D12" s="1">
        <f t="shared" si="1"/>
        <v>75</v>
      </c>
      <c r="E12" s="1">
        <f t="shared" si="2"/>
        <v>0</v>
      </c>
      <c r="F12" s="1">
        <f t="shared" si="3"/>
        <v>501</v>
      </c>
      <c r="H12">
        <v>140</v>
      </c>
      <c r="I12">
        <v>474.02368000000052</v>
      </c>
    </row>
    <row r="13" spans="1:9" x14ac:dyDescent="0.25">
      <c r="A13" s="1">
        <v>12</v>
      </c>
      <c r="B13">
        <v>0.32148102124791522</v>
      </c>
      <c r="C13">
        <f t="shared" si="0"/>
        <v>63.410965962224438</v>
      </c>
      <c r="D13" s="1">
        <f t="shared" si="1"/>
        <v>63</v>
      </c>
      <c r="E13" s="1">
        <f t="shared" si="2"/>
        <v>12</v>
      </c>
      <c r="F13" s="1">
        <f t="shared" si="3"/>
        <v>416.52</v>
      </c>
      <c r="H13">
        <v>150</v>
      </c>
      <c r="I13">
        <v>470.64895999999948</v>
      </c>
    </row>
    <row r="14" spans="1:9" x14ac:dyDescent="0.25">
      <c r="A14" s="1">
        <v>13</v>
      </c>
      <c r="B14">
        <v>0.58704670040179219</v>
      </c>
      <c r="C14">
        <f t="shared" si="0"/>
        <v>80.498862224792049</v>
      </c>
      <c r="D14" s="1">
        <f t="shared" si="1"/>
        <v>75</v>
      </c>
      <c r="E14" s="1">
        <f t="shared" si="2"/>
        <v>0</v>
      </c>
      <c r="F14" s="1">
        <f t="shared" si="3"/>
        <v>501</v>
      </c>
    </row>
    <row r="15" spans="1:9" x14ac:dyDescent="0.25">
      <c r="A15" s="1">
        <v>14</v>
      </c>
      <c r="B15">
        <v>0.12772271073956654</v>
      </c>
      <c r="C15">
        <f t="shared" si="0"/>
        <v>46.569445764765689</v>
      </c>
      <c r="D15" s="1">
        <f t="shared" si="1"/>
        <v>47</v>
      </c>
      <c r="E15" s="1">
        <f t="shared" si="2"/>
        <v>28</v>
      </c>
      <c r="F15" s="1">
        <f t="shared" si="3"/>
        <v>303.88</v>
      </c>
    </row>
    <row r="16" spans="1:9" ht="15.6" x14ac:dyDescent="0.3">
      <c r="A16" s="1">
        <v>15</v>
      </c>
      <c r="B16">
        <v>0.25846238555175371</v>
      </c>
      <c r="C16">
        <f t="shared" si="0"/>
        <v>58.797673836273816</v>
      </c>
      <c r="D16" s="1">
        <f t="shared" si="1"/>
        <v>59</v>
      </c>
      <c r="E16" s="1">
        <f t="shared" si="2"/>
        <v>16</v>
      </c>
      <c r="F16" s="1">
        <f t="shared" si="3"/>
        <v>388.36</v>
      </c>
      <c r="H16" s="6" t="s">
        <v>12</v>
      </c>
      <c r="I16" s="6">
        <f>MAX(I2:I13)</f>
        <v>478.79487999999964</v>
      </c>
    </row>
    <row r="17" spans="1:9" ht="15.6" x14ac:dyDescent="0.3">
      <c r="A17" s="1">
        <v>16</v>
      </c>
      <c r="B17">
        <v>0.13931979753249835</v>
      </c>
      <c r="C17">
        <f t="shared" si="0"/>
        <v>47.915489059920915</v>
      </c>
      <c r="D17" s="1">
        <f t="shared" si="1"/>
        <v>48</v>
      </c>
      <c r="E17" s="1">
        <f t="shared" si="2"/>
        <v>27</v>
      </c>
      <c r="F17" s="1">
        <f t="shared" si="3"/>
        <v>310.92</v>
      </c>
      <c r="H17" s="6" t="s">
        <v>13</v>
      </c>
      <c r="I17" s="6">
        <f>INDEX($H$2:$H$13,MATCH(I16,I2:I13,0))</f>
        <v>120</v>
      </c>
    </row>
    <row r="18" spans="1:9" x14ac:dyDescent="0.25">
      <c r="A18" s="1">
        <v>17</v>
      </c>
      <c r="B18">
        <v>0.13402904152789985</v>
      </c>
      <c r="C18">
        <f t="shared" si="0"/>
        <v>47.311358529850011</v>
      </c>
      <c r="D18" s="1">
        <f t="shared" si="1"/>
        <v>47</v>
      </c>
      <c r="E18" s="1">
        <f t="shared" si="2"/>
        <v>28</v>
      </c>
      <c r="F18" s="1">
        <f t="shared" si="3"/>
        <v>303.88</v>
      </c>
    </row>
    <row r="19" spans="1:9" x14ac:dyDescent="0.25">
      <c r="A19" s="1">
        <v>18</v>
      </c>
      <c r="B19">
        <v>0.32760566128622282</v>
      </c>
      <c r="C19">
        <f t="shared" si="0"/>
        <v>63.836641834003153</v>
      </c>
      <c r="D19" s="1">
        <f t="shared" si="1"/>
        <v>64</v>
      </c>
      <c r="E19" s="1">
        <f t="shared" si="2"/>
        <v>11</v>
      </c>
      <c r="F19" s="1">
        <f t="shared" si="3"/>
        <v>423.56</v>
      </c>
    </row>
    <row r="20" spans="1:9" x14ac:dyDescent="0.25">
      <c r="A20" s="1">
        <v>19</v>
      </c>
      <c r="B20">
        <v>0.78959037347466976</v>
      </c>
      <c r="C20">
        <f t="shared" si="0"/>
        <v>95.125018487435597</v>
      </c>
      <c r="D20" s="1">
        <f t="shared" si="1"/>
        <v>75</v>
      </c>
      <c r="E20" s="1">
        <f t="shared" si="2"/>
        <v>0</v>
      </c>
      <c r="F20" s="1">
        <f t="shared" si="3"/>
        <v>501</v>
      </c>
    </row>
    <row r="21" spans="1:9" x14ac:dyDescent="0.25">
      <c r="A21" s="1">
        <v>20</v>
      </c>
      <c r="B21">
        <v>0.11916394823259424</v>
      </c>
      <c r="C21">
        <f t="shared" si="0"/>
        <v>45.520587176502943</v>
      </c>
      <c r="D21" s="1">
        <f t="shared" si="1"/>
        <v>46</v>
      </c>
      <c r="E21" s="1">
        <f t="shared" si="2"/>
        <v>29</v>
      </c>
      <c r="F21" s="1">
        <f t="shared" si="3"/>
        <v>296.83999999999997</v>
      </c>
    </row>
    <row r="22" spans="1:9" x14ac:dyDescent="0.25">
      <c r="A22" s="1">
        <v>21</v>
      </c>
      <c r="B22">
        <v>0.30101556516415673</v>
      </c>
      <c r="C22">
        <f t="shared" si="0"/>
        <v>61.96295318607153</v>
      </c>
      <c r="D22" s="1">
        <f t="shared" si="1"/>
        <v>62</v>
      </c>
      <c r="E22" s="1">
        <f t="shared" si="2"/>
        <v>13</v>
      </c>
      <c r="F22" s="1">
        <f t="shared" si="3"/>
        <v>409.48</v>
      </c>
    </row>
    <row r="23" spans="1:9" x14ac:dyDescent="0.25">
      <c r="A23" s="1">
        <v>22</v>
      </c>
      <c r="B23">
        <v>0.56993839880638153</v>
      </c>
      <c r="C23">
        <f t="shared" si="0"/>
        <v>79.405433379476079</v>
      </c>
      <c r="D23" s="1">
        <f t="shared" si="1"/>
        <v>75</v>
      </c>
      <c r="E23" s="1">
        <f t="shared" si="2"/>
        <v>0</v>
      </c>
      <c r="F23" s="1">
        <f t="shared" si="3"/>
        <v>501</v>
      </c>
    </row>
    <row r="24" spans="1:9" x14ac:dyDescent="0.25">
      <c r="A24" s="1">
        <v>23</v>
      </c>
      <c r="B24">
        <v>0.41824859598399322</v>
      </c>
      <c r="C24">
        <f t="shared" si="0"/>
        <v>69.840599213751901</v>
      </c>
      <c r="D24" s="1">
        <f t="shared" si="1"/>
        <v>70</v>
      </c>
      <c r="E24" s="1">
        <f t="shared" si="2"/>
        <v>5</v>
      </c>
      <c r="F24" s="1">
        <f t="shared" si="3"/>
        <v>465.8</v>
      </c>
    </row>
    <row r="25" spans="1:9" x14ac:dyDescent="0.25">
      <c r="A25" s="1">
        <v>24</v>
      </c>
      <c r="B25">
        <v>0.42830734129000014</v>
      </c>
      <c r="C25">
        <f t="shared" si="0"/>
        <v>70.482870201052577</v>
      </c>
      <c r="D25" s="1">
        <f t="shared" si="1"/>
        <v>70</v>
      </c>
      <c r="E25" s="1">
        <f t="shared" si="2"/>
        <v>5</v>
      </c>
      <c r="F25" s="1">
        <f t="shared" si="3"/>
        <v>465.8</v>
      </c>
    </row>
    <row r="26" spans="1:9" x14ac:dyDescent="0.25">
      <c r="A26" s="1">
        <v>25</v>
      </c>
      <c r="B26">
        <v>0.59605498469457663</v>
      </c>
      <c r="C26">
        <f t="shared" si="0"/>
        <v>81.078723155141418</v>
      </c>
      <c r="D26" s="1">
        <f t="shared" si="1"/>
        <v>75</v>
      </c>
      <c r="E26" s="1">
        <f t="shared" si="2"/>
        <v>0</v>
      </c>
      <c r="F26" s="1">
        <f t="shared" si="3"/>
        <v>501</v>
      </c>
    </row>
    <row r="27" spans="1:9" x14ac:dyDescent="0.25">
      <c r="A27" s="1">
        <v>26</v>
      </c>
      <c r="B27">
        <v>0.77465386939953196</v>
      </c>
      <c r="C27">
        <f t="shared" si="0"/>
        <v>93.856535591948756</v>
      </c>
      <c r="D27" s="1">
        <f t="shared" si="1"/>
        <v>75</v>
      </c>
      <c r="E27" s="1">
        <f t="shared" si="2"/>
        <v>0</v>
      </c>
      <c r="F27" s="1">
        <f t="shared" si="3"/>
        <v>501</v>
      </c>
    </row>
    <row r="28" spans="1:9" x14ac:dyDescent="0.25">
      <c r="A28" s="1">
        <v>27</v>
      </c>
      <c r="B28">
        <v>0.68982098917429002</v>
      </c>
      <c r="C28">
        <f t="shared" si="0"/>
        <v>87.383575038260048</v>
      </c>
      <c r="D28" s="1">
        <f t="shared" si="1"/>
        <v>75</v>
      </c>
      <c r="E28" s="1">
        <f t="shared" si="2"/>
        <v>0</v>
      </c>
      <c r="F28" s="1">
        <f t="shared" si="3"/>
        <v>501</v>
      </c>
    </row>
    <row r="29" spans="1:9" x14ac:dyDescent="0.25">
      <c r="A29" s="1">
        <v>28</v>
      </c>
      <c r="B29">
        <v>0.43565989611152245</v>
      </c>
      <c r="C29">
        <f t="shared" si="0"/>
        <v>70.950442496259541</v>
      </c>
      <c r="D29" s="1">
        <f t="shared" si="1"/>
        <v>71</v>
      </c>
      <c r="E29" s="1">
        <f t="shared" si="2"/>
        <v>4</v>
      </c>
      <c r="F29" s="1">
        <f t="shared" si="3"/>
        <v>472.84</v>
      </c>
    </row>
    <row r="30" spans="1:9" x14ac:dyDescent="0.25">
      <c r="A30" s="1">
        <v>29</v>
      </c>
      <c r="B30">
        <v>0.40123937454552083</v>
      </c>
      <c r="C30">
        <f t="shared" si="0"/>
        <v>68.746489190434858</v>
      </c>
      <c r="D30" s="1">
        <f t="shared" si="1"/>
        <v>69</v>
      </c>
      <c r="E30" s="1">
        <f t="shared" si="2"/>
        <v>6</v>
      </c>
      <c r="F30" s="1">
        <f t="shared" si="3"/>
        <v>458.76</v>
      </c>
    </row>
    <row r="31" spans="1:9" x14ac:dyDescent="0.25">
      <c r="A31" s="1">
        <v>30</v>
      </c>
      <c r="B31">
        <v>0.73850806542911218</v>
      </c>
      <c r="C31">
        <f t="shared" si="0"/>
        <v>90.968815736483464</v>
      </c>
      <c r="D31" s="1">
        <f t="shared" si="1"/>
        <v>75</v>
      </c>
      <c r="E31" s="1">
        <f t="shared" si="2"/>
        <v>0</v>
      </c>
      <c r="F31" s="1">
        <f t="shared" si="3"/>
        <v>501</v>
      </c>
    </row>
    <row r="32" spans="1:9" x14ac:dyDescent="0.25">
      <c r="A32" s="1">
        <v>31</v>
      </c>
      <c r="B32">
        <v>0.25669533836422309</v>
      </c>
      <c r="C32">
        <f t="shared" si="0"/>
        <v>58.660819803599622</v>
      </c>
      <c r="D32" s="1">
        <f t="shared" si="1"/>
        <v>59</v>
      </c>
      <c r="E32" s="1">
        <f t="shared" si="2"/>
        <v>16</v>
      </c>
      <c r="F32" s="1">
        <f t="shared" si="3"/>
        <v>388.36</v>
      </c>
    </row>
    <row r="33" spans="1:6" x14ac:dyDescent="0.25">
      <c r="A33" s="1">
        <v>32</v>
      </c>
      <c r="B33">
        <v>0.21621861693495814</v>
      </c>
      <c r="C33">
        <f t="shared" si="0"/>
        <v>55.374303488825319</v>
      </c>
      <c r="D33" s="1">
        <f t="shared" si="1"/>
        <v>55</v>
      </c>
      <c r="E33" s="1">
        <f t="shared" si="2"/>
        <v>20</v>
      </c>
      <c r="F33" s="1">
        <f t="shared" si="3"/>
        <v>360.2</v>
      </c>
    </row>
    <row r="34" spans="1:6" x14ac:dyDescent="0.25">
      <c r="A34" s="1">
        <v>33</v>
      </c>
      <c r="B34">
        <v>0.52990532360320686</v>
      </c>
      <c r="C34">
        <f t="shared" si="0"/>
        <v>76.875796811817608</v>
      </c>
      <c r="D34" s="1">
        <f t="shared" si="1"/>
        <v>75</v>
      </c>
      <c r="E34" s="1">
        <f t="shared" si="2"/>
        <v>0</v>
      </c>
      <c r="F34" s="1">
        <f t="shared" si="3"/>
        <v>501</v>
      </c>
    </row>
    <row r="35" spans="1:6" x14ac:dyDescent="0.25">
      <c r="A35" s="1">
        <v>34</v>
      </c>
      <c r="B35">
        <v>0.27229759121186847</v>
      </c>
      <c r="C35">
        <f t="shared" si="0"/>
        <v>59.85302790393002</v>
      </c>
      <c r="D35" s="1">
        <f t="shared" si="1"/>
        <v>60</v>
      </c>
      <c r="E35" s="1">
        <f t="shared" si="2"/>
        <v>15</v>
      </c>
      <c r="F35" s="1">
        <f t="shared" si="3"/>
        <v>395.4</v>
      </c>
    </row>
    <row r="36" spans="1:6" x14ac:dyDescent="0.25">
      <c r="A36" s="1">
        <v>35</v>
      </c>
      <c r="B36">
        <v>0.67732901291555392</v>
      </c>
      <c r="C36">
        <f t="shared" si="0"/>
        <v>86.506069266412524</v>
      </c>
      <c r="D36" s="1">
        <f t="shared" si="1"/>
        <v>75</v>
      </c>
      <c r="E36" s="1">
        <f t="shared" si="2"/>
        <v>0</v>
      </c>
      <c r="F36" s="1">
        <f t="shared" si="3"/>
        <v>501</v>
      </c>
    </row>
    <row r="37" spans="1:6" x14ac:dyDescent="0.25">
      <c r="A37" s="1">
        <v>36</v>
      </c>
      <c r="B37">
        <v>0.17130832585766231</v>
      </c>
      <c r="C37">
        <f t="shared" si="0"/>
        <v>51.274805329788464</v>
      </c>
      <c r="D37" s="1">
        <f t="shared" si="1"/>
        <v>51</v>
      </c>
      <c r="E37" s="1">
        <f t="shared" si="2"/>
        <v>24</v>
      </c>
      <c r="F37" s="1">
        <f t="shared" si="3"/>
        <v>332.04</v>
      </c>
    </row>
    <row r="38" spans="1:6" x14ac:dyDescent="0.25">
      <c r="A38" s="1">
        <v>37</v>
      </c>
      <c r="B38">
        <v>0.56008101830563839</v>
      </c>
      <c r="C38">
        <f t="shared" si="0"/>
        <v>78.779365724928141</v>
      </c>
      <c r="D38" s="1">
        <f t="shared" si="1"/>
        <v>75</v>
      </c>
      <c r="E38" s="1">
        <f t="shared" si="2"/>
        <v>0</v>
      </c>
      <c r="F38" s="1">
        <f t="shared" si="3"/>
        <v>501</v>
      </c>
    </row>
    <row r="39" spans="1:6" x14ac:dyDescent="0.25">
      <c r="A39" s="1">
        <v>38</v>
      </c>
      <c r="B39">
        <v>0.1211982176428319</v>
      </c>
      <c r="C39">
        <f t="shared" si="0"/>
        <v>45.774553474977679</v>
      </c>
      <c r="D39" s="1">
        <f t="shared" si="1"/>
        <v>46</v>
      </c>
      <c r="E39" s="1">
        <f t="shared" si="2"/>
        <v>29</v>
      </c>
      <c r="F39" s="1">
        <f t="shared" si="3"/>
        <v>296.83999999999997</v>
      </c>
    </row>
    <row r="40" spans="1:6" x14ac:dyDescent="0.25">
      <c r="A40" s="1">
        <v>39</v>
      </c>
      <c r="B40">
        <v>0.76366897743732098</v>
      </c>
      <c r="C40">
        <f t="shared" si="0"/>
        <v>92.953861853038845</v>
      </c>
      <c r="D40" s="1">
        <f t="shared" si="1"/>
        <v>75</v>
      </c>
      <c r="E40" s="1">
        <f t="shared" si="2"/>
        <v>0</v>
      </c>
      <c r="F40" s="1">
        <f t="shared" si="3"/>
        <v>501</v>
      </c>
    </row>
    <row r="41" spans="1:6" x14ac:dyDescent="0.25">
      <c r="A41" s="1">
        <v>40</v>
      </c>
      <c r="B41">
        <v>0.799370902784587</v>
      </c>
      <c r="C41">
        <f t="shared" si="0"/>
        <v>95.984406811856559</v>
      </c>
      <c r="D41" s="1">
        <f t="shared" si="1"/>
        <v>75</v>
      </c>
      <c r="E41" s="1">
        <f t="shared" si="2"/>
        <v>0</v>
      </c>
      <c r="F41" s="1">
        <f t="shared" si="3"/>
        <v>501</v>
      </c>
    </row>
    <row r="42" spans="1:6" x14ac:dyDescent="0.25">
      <c r="A42" s="1">
        <v>41</v>
      </c>
      <c r="B42">
        <v>0.63558599230727397</v>
      </c>
      <c r="C42">
        <f t="shared" si="0"/>
        <v>83.667123836137719</v>
      </c>
      <c r="D42" s="1">
        <f t="shared" si="1"/>
        <v>75</v>
      </c>
      <c r="E42" s="1">
        <f t="shared" si="2"/>
        <v>0</v>
      </c>
      <c r="F42" s="1">
        <f t="shared" si="3"/>
        <v>501</v>
      </c>
    </row>
    <row r="43" spans="1:6" x14ac:dyDescent="0.25">
      <c r="A43" s="1">
        <v>42</v>
      </c>
      <c r="B43">
        <v>0.1648249737934423</v>
      </c>
      <c r="C43">
        <f t="shared" si="0"/>
        <v>50.629519806034708</v>
      </c>
      <c r="D43" s="1">
        <f t="shared" si="1"/>
        <v>51</v>
      </c>
      <c r="E43" s="1">
        <f t="shared" si="2"/>
        <v>24</v>
      </c>
      <c r="F43" s="1">
        <f t="shared" si="3"/>
        <v>332.04</v>
      </c>
    </row>
    <row r="44" spans="1:6" x14ac:dyDescent="0.25">
      <c r="A44" s="1">
        <v>43</v>
      </c>
      <c r="B44">
        <v>0.84744012667717505</v>
      </c>
      <c r="C44">
        <f t="shared" si="0"/>
        <v>100.63790175843886</v>
      </c>
      <c r="D44" s="1">
        <f t="shared" si="1"/>
        <v>75</v>
      </c>
      <c r="E44" s="1">
        <f t="shared" si="2"/>
        <v>0</v>
      </c>
      <c r="F44" s="1">
        <f t="shared" si="3"/>
        <v>501</v>
      </c>
    </row>
    <row r="45" spans="1:6" x14ac:dyDescent="0.25">
      <c r="A45" s="1">
        <v>44</v>
      </c>
      <c r="B45">
        <v>0.28774466761964457</v>
      </c>
      <c r="C45">
        <f t="shared" si="0"/>
        <v>61.00036276291015</v>
      </c>
      <c r="D45" s="1">
        <f t="shared" si="1"/>
        <v>61</v>
      </c>
      <c r="E45" s="1">
        <f t="shared" si="2"/>
        <v>14</v>
      </c>
      <c r="F45" s="1">
        <f t="shared" si="3"/>
        <v>402.44</v>
      </c>
    </row>
    <row r="46" spans="1:6" x14ac:dyDescent="0.25">
      <c r="A46" s="1">
        <v>45</v>
      </c>
      <c r="B46">
        <v>0.20944035535365102</v>
      </c>
      <c r="C46">
        <f t="shared" si="0"/>
        <v>54.790884408006235</v>
      </c>
      <c r="D46" s="1">
        <f t="shared" si="1"/>
        <v>55</v>
      </c>
      <c r="E46" s="1">
        <f t="shared" si="2"/>
        <v>20</v>
      </c>
      <c r="F46" s="1">
        <f t="shared" si="3"/>
        <v>360.2</v>
      </c>
    </row>
    <row r="47" spans="1:6" x14ac:dyDescent="0.25">
      <c r="A47" s="1">
        <v>46</v>
      </c>
      <c r="B47">
        <v>0.71649031940998453</v>
      </c>
      <c r="C47">
        <f t="shared" si="0"/>
        <v>89.311168396182737</v>
      </c>
      <c r="D47" s="1">
        <f t="shared" si="1"/>
        <v>75</v>
      </c>
      <c r="E47" s="1">
        <f t="shared" si="2"/>
        <v>0</v>
      </c>
      <c r="F47" s="1">
        <f t="shared" si="3"/>
        <v>501</v>
      </c>
    </row>
    <row r="48" spans="1:6" x14ac:dyDescent="0.25">
      <c r="A48" s="1">
        <v>47</v>
      </c>
      <c r="B48">
        <v>0.35803953573464009</v>
      </c>
      <c r="C48">
        <f t="shared" si="0"/>
        <v>65.907400515368352</v>
      </c>
      <c r="D48" s="1">
        <f t="shared" si="1"/>
        <v>66</v>
      </c>
      <c r="E48" s="1">
        <f t="shared" si="2"/>
        <v>9</v>
      </c>
      <c r="F48" s="1">
        <f t="shared" si="3"/>
        <v>437.64</v>
      </c>
    </row>
    <row r="49" spans="1:6" x14ac:dyDescent="0.25">
      <c r="A49" s="1">
        <v>48</v>
      </c>
      <c r="B49">
        <v>0.9721836801807614</v>
      </c>
      <c r="C49">
        <f t="shared" si="0"/>
        <v>122.84755766339933</v>
      </c>
      <c r="D49" s="1">
        <f t="shared" si="1"/>
        <v>75</v>
      </c>
      <c r="E49" s="1">
        <f t="shared" si="2"/>
        <v>0</v>
      </c>
      <c r="F49" s="1">
        <f t="shared" si="3"/>
        <v>501</v>
      </c>
    </row>
    <row r="50" spans="1:6" x14ac:dyDescent="0.25">
      <c r="A50" s="1">
        <v>49</v>
      </c>
      <c r="B50">
        <v>0.12937813067178039</v>
      </c>
      <c r="C50">
        <f t="shared" si="0"/>
        <v>46.766608387668882</v>
      </c>
      <c r="D50" s="1">
        <f t="shared" si="1"/>
        <v>47</v>
      </c>
      <c r="E50" s="1">
        <f t="shared" si="2"/>
        <v>28</v>
      </c>
      <c r="F50" s="1">
        <f t="shared" si="3"/>
        <v>303.88</v>
      </c>
    </row>
    <row r="51" spans="1:6" x14ac:dyDescent="0.25">
      <c r="A51" s="1">
        <v>50</v>
      </c>
      <c r="B51">
        <v>0.21490603089890459</v>
      </c>
      <c r="C51">
        <f t="shared" si="0"/>
        <v>55.262167600657506</v>
      </c>
      <c r="D51" s="1">
        <f t="shared" si="1"/>
        <v>55</v>
      </c>
      <c r="E51" s="1">
        <f t="shared" si="2"/>
        <v>20</v>
      </c>
      <c r="F51" s="1">
        <f t="shared" si="3"/>
        <v>360.2</v>
      </c>
    </row>
    <row r="52" spans="1:6" x14ac:dyDescent="0.25">
      <c r="A52" s="1">
        <v>51</v>
      </c>
      <c r="B52">
        <v>0.45740200903052119</v>
      </c>
      <c r="C52">
        <f t="shared" si="0"/>
        <v>72.325473897615282</v>
      </c>
      <c r="D52" s="1">
        <f t="shared" si="1"/>
        <v>72</v>
      </c>
      <c r="E52" s="1">
        <f t="shared" si="2"/>
        <v>3</v>
      </c>
      <c r="F52" s="1">
        <f t="shared" si="3"/>
        <v>479.88</v>
      </c>
    </row>
    <row r="53" spans="1:6" x14ac:dyDescent="0.25">
      <c r="A53" s="1">
        <v>52</v>
      </c>
      <c r="B53">
        <v>0.43894787884636266</v>
      </c>
      <c r="C53">
        <f t="shared" si="0"/>
        <v>71.15906853832773</v>
      </c>
      <c r="D53" s="1">
        <f t="shared" si="1"/>
        <v>71</v>
      </c>
      <c r="E53" s="1">
        <f t="shared" si="2"/>
        <v>4</v>
      </c>
      <c r="F53" s="1">
        <f t="shared" si="3"/>
        <v>472.84</v>
      </c>
    </row>
    <row r="54" spans="1:6" x14ac:dyDescent="0.25">
      <c r="A54" s="1">
        <v>53</v>
      </c>
      <c r="B54">
        <v>0.45391117000005821</v>
      </c>
      <c r="C54">
        <f t="shared" si="0"/>
        <v>72.105356111130931</v>
      </c>
      <c r="D54" s="1">
        <f t="shared" si="1"/>
        <v>72</v>
      </c>
      <c r="E54" s="1">
        <f t="shared" si="2"/>
        <v>3</v>
      </c>
      <c r="F54" s="1">
        <f t="shared" si="3"/>
        <v>479.88</v>
      </c>
    </row>
    <row r="55" spans="1:6" x14ac:dyDescent="0.25">
      <c r="A55" s="1">
        <v>54</v>
      </c>
      <c r="B55">
        <v>0.48174754878582449</v>
      </c>
      <c r="C55">
        <f t="shared" si="0"/>
        <v>73.855797904755846</v>
      </c>
      <c r="D55" s="1">
        <f t="shared" si="1"/>
        <v>74</v>
      </c>
      <c r="E55" s="1">
        <f t="shared" si="2"/>
        <v>1</v>
      </c>
      <c r="F55" s="1">
        <f t="shared" si="3"/>
        <v>493.96</v>
      </c>
    </row>
    <row r="56" spans="1:6" x14ac:dyDescent="0.25">
      <c r="A56" s="1">
        <v>55</v>
      </c>
      <c r="B56">
        <v>0.53278210916981039</v>
      </c>
      <c r="C56">
        <f t="shared" si="0"/>
        <v>77.056631424441932</v>
      </c>
      <c r="D56" s="1">
        <f t="shared" si="1"/>
        <v>75</v>
      </c>
      <c r="E56" s="1">
        <f t="shared" si="2"/>
        <v>0</v>
      </c>
      <c r="F56" s="1">
        <f t="shared" si="3"/>
        <v>501</v>
      </c>
    </row>
    <row r="57" spans="1:6" x14ac:dyDescent="0.25">
      <c r="A57" s="1">
        <v>56</v>
      </c>
      <c r="B57">
        <v>0.38051321148507444</v>
      </c>
      <c r="C57">
        <f t="shared" si="0"/>
        <v>67.396670289166124</v>
      </c>
      <c r="D57" s="1">
        <f t="shared" si="1"/>
        <v>67</v>
      </c>
      <c r="E57" s="1">
        <f t="shared" si="2"/>
        <v>8</v>
      </c>
      <c r="F57" s="1">
        <f t="shared" si="3"/>
        <v>444.68</v>
      </c>
    </row>
    <row r="58" spans="1:6" x14ac:dyDescent="0.25">
      <c r="A58" s="1">
        <v>57</v>
      </c>
      <c r="B58">
        <v>8.3683114974834827E-2</v>
      </c>
      <c r="C58">
        <f t="shared" si="0"/>
        <v>40.482094324490056</v>
      </c>
      <c r="D58" s="1">
        <f t="shared" si="1"/>
        <v>40</v>
      </c>
      <c r="E58" s="1">
        <f t="shared" si="2"/>
        <v>35</v>
      </c>
      <c r="F58" s="1">
        <f t="shared" si="3"/>
        <v>254.6</v>
      </c>
    </row>
    <row r="59" spans="1:6" x14ac:dyDescent="0.25">
      <c r="A59" s="1">
        <v>58</v>
      </c>
      <c r="B59">
        <v>0.75061622282170415</v>
      </c>
      <c r="C59">
        <f t="shared" si="0"/>
        <v>91.910754769241095</v>
      </c>
      <c r="D59" s="1">
        <f t="shared" si="1"/>
        <v>75</v>
      </c>
      <c r="E59" s="1">
        <f t="shared" si="2"/>
        <v>0</v>
      </c>
      <c r="F59" s="1">
        <f t="shared" si="3"/>
        <v>501</v>
      </c>
    </row>
    <row r="60" spans="1:6" x14ac:dyDescent="0.25">
      <c r="A60" s="1">
        <v>59</v>
      </c>
      <c r="B60">
        <v>0.52536270983809785</v>
      </c>
      <c r="C60">
        <f t="shared" si="0"/>
        <v>76.590444302306437</v>
      </c>
      <c r="D60" s="1">
        <f t="shared" si="1"/>
        <v>75</v>
      </c>
      <c r="E60" s="1">
        <f t="shared" si="2"/>
        <v>0</v>
      </c>
      <c r="F60" s="1">
        <f t="shared" si="3"/>
        <v>501</v>
      </c>
    </row>
    <row r="61" spans="1:6" x14ac:dyDescent="0.25">
      <c r="A61" s="1">
        <v>60</v>
      </c>
      <c r="B61">
        <v>0.45832939205724443</v>
      </c>
      <c r="C61">
        <f t="shared" si="0"/>
        <v>72.383915270955839</v>
      </c>
      <c r="D61" s="1">
        <f t="shared" si="1"/>
        <v>72</v>
      </c>
      <c r="E61" s="1">
        <f t="shared" si="2"/>
        <v>3</v>
      </c>
      <c r="F61" s="1">
        <f t="shared" si="3"/>
        <v>479.88</v>
      </c>
    </row>
    <row r="62" spans="1:6" x14ac:dyDescent="0.25">
      <c r="A62" s="1">
        <v>61</v>
      </c>
      <c r="B62">
        <v>0.21911257052160538</v>
      </c>
      <c r="C62">
        <f t="shared" si="0"/>
        <v>55.620154568655018</v>
      </c>
      <c r="D62" s="1">
        <f t="shared" si="1"/>
        <v>56</v>
      </c>
      <c r="E62" s="1">
        <f t="shared" si="2"/>
        <v>19</v>
      </c>
      <c r="F62" s="1">
        <f t="shared" si="3"/>
        <v>367.24</v>
      </c>
    </row>
    <row r="63" spans="1:6" x14ac:dyDescent="0.25">
      <c r="A63" s="1">
        <v>62</v>
      </c>
      <c r="B63">
        <v>0.98827752435227689</v>
      </c>
      <c r="C63">
        <f t="shared" si="0"/>
        <v>131.65262659128587</v>
      </c>
      <c r="D63" s="1">
        <f t="shared" si="1"/>
        <v>75</v>
      </c>
      <c r="E63" s="1">
        <f t="shared" si="2"/>
        <v>0</v>
      </c>
      <c r="F63" s="1">
        <f t="shared" si="3"/>
        <v>501</v>
      </c>
    </row>
    <row r="64" spans="1:6" x14ac:dyDescent="0.25">
      <c r="A64" s="1">
        <v>63</v>
      </c>
      <c r="B64">
        <v>0.90071482889716259</v>
      </c>
      <c r="C64">
        <f t="shared" si="0"/>
        <v>107.14088456633834</v>
      </c>
      <c r="D64" s="1">
        <f t="shared" si="1"/>
        <v>75</v>
      </c>
      <c r="E64" s="1">
        <f t="shared" si="2"/>
        <v>0</v>
      </c>
      <c r="F64" s="1">
        <f t="shared" si="3"/>
        <v>501</v>
      </c>
    </row>
    <row r="65" spans="1:6" x14ac:dyDescent="0.25">
      <c r="A65" s="1">
        <v>64</v>
      </c>
      <c r="B65">
        <v>0.43032358097876633</v>
      </c>
      <c r="C65">
        <f t="shared" si="0"/>
        <v>70.611239676643805</v>
      </c>
      <c r="D65" s="1">
        <f t="shared" si="1"/>
        <v>71</v>
      </c>
      <c r="E65" s="1">
        <f t="shared" si="2"/>
        <v>4</v>
      </c>
      <c r="F65" s="1">
        <f t="shared" si="3"/>
        <v>472.84</v>
      </c>
    </row>
    <row r="66" spans="1:6" x14ac:dyDescent="0.25">
      <c r="A66" s="1">
        <v>65</v>
      </c>
      <c r="B66">
        <v>0.39132724262659724</v>
      </c>
      <c r="C66">
        <f t="shared" si="0"/>
        <v>68.103463796016854</v>
      </c>
      <c r="D66" s="1">
        <f t="shared" si="1"/>
        <v>68</v>
      </c>
      <c r="E66" s="1">
        <f t="shared" si="2"/>
        <v>7</v>
      </c>
      <c r="F66" s="1">
        <f t="shared" si="3"/>
        <v>451.72</v>
      </c>
    </row>
    <row r="67" spans="1:6" x14ac:dyDescent="0.25">
      <c r="A67" s="1">
        <v>66</v>
      </c>
      <c r="B67">
        <v>0.84975882540146641</v>
      </c>
      <c r="C67">
        <f t="shared" ref="C67:C130" si="4">_xlfn.NORM.INV(B67,75,25)</f>
        <v>100.88498910317615</v>
      </c>
      <c r="D67" s="1">
        <f t="shared" ref="D67:D130" si="5">MIN(ROUND(C67,0),$H$2)</f>
        <v>75</v>
      </c>
      <c r="E67" s="1">
        <f t="shared" ref="E67:E130" si="6">$H$2-D67</f>
        <v>0</v>
      </c>
      <c r="F67" s="1">
        <f t="shared" ref="F67:F130" si="7">7*D67-$H$2/25*8-E67/25*1</f>
        <v>501</v>
      </c>
    </row>
    <row r="68" spans="1:6" x14ac:dyDescent="0.25">
      <c r="A68" s="1">
        <v>67</v>
      </c>
      <c r="B68">
        <v>3.128191338976849E-2</v>
      </c>
      <c r="C68">
        <f t="shared" si="4"/>
        <v>28.443034374347157</v>
      </c>
      <c r="D68" s="1">
        <f t="shared" si="5"/>
        <v>28</v>
      </c>
      <c r="E68" s="1">
        <f t="shared" si="6"/>
        <v>47</v>
      </c>
      <c r="F68" s="1">
        <f t="shared" si="7"/>
        <v>170.12</v>
      </c>
    </row>
    <row r="69" spans="1:6" x14ac:dyDescent="0.25">
      <c r="A69" s="1">
        <v>68</v>
      </c>
      <c r="B69">
        <v>0.39690951933590413</v>
      </c>
      <c r="C69">
        <f t="shared" si="4"/>
        <v>68.466134162153168</v>
      </c>
      <c r="D69" s="1">
        <f t="shared" si="5"/>
        <v>68</v>
      </c>
      <c r="E69" s="1">
        <f t="shared" si="6"/>
        <v>7</v>
      </c>
      <c r="F69" s="1">
        <f t="shared" si="7"/>
        <v>451.72</v>
      </c>
    </row>
    <row r="70" spans="1:6" x14ac:dyDescent="0.25">
      <c r="A70" s="1">
        <v>69</v>
      </c>
      <c r="B70">
        <v>0.84917594877723257</v>
      </c>
      <c r="C70">
        <f t="shared" si="4"/>
        <v>100.82263868636502</v>
      </c>
      <c r="D70" s="1">
        <f t="shared" si="5"/>
        <v>75</v>
      </c>
      <c r="E70" s="1">
        <f t="shared" si="6"/>
        <v>0</v>
      </c>
      <c r="F70" s="1">
        <f t="shared" si="7"/>
        <v>501</v>
      </c>
    </row>
    <row r="71" spans="1:6" x14ac:dyDescent="0.25">
      <c r="A71" s="1">
        <v>70</v>
      </c>
      <c r="B71">
        <v>0.47441027670527536</v>
      </c>
      <c r="C71">
        <f t="shared" si="4"/>
        <v>73.395300662700166</v>
      </c>
      <c r="D71" s="1">
        <f t="shared" si="5"/>
        <v>73</v>
      </c>
      <c r="E71" s="1">
        <f t="shared" si="6"/>
        <v>2</v>
      </c>
      <c r="F71" s="1">
        <f t="shared" si="7"/>
        <v>486.92</v>
      </c>
    </row>
    <row r="72" spans="1:6" x14ac:dyDescent="0.25">
      <c r="A72" s="1">
        <v>71</v>
      </c>
      <c r="B72">
        <v>0.40949073671785874</v>
      </c>
      <c r="C72">
        <f t="shared" si="4"/>
        <v>69.278620377624705</v>
      </c>
      <c r="D72" s="1">
        <f t="shared" si="5"/>
        <v>69</v>
      </c>
      <c r="E72" s="1">
        <f t="shared" si="6"/>
        <v>6</v>
      </c>
      <c r="F72" s="1">
        <f t="shared" si="7"/>
        <v>458.76</v>
      </c>
    </row>
    <row r="73" spans="1:6" x14ac:dyDescent="0.25">
      <c r="A73" s="1">
        <v>72</v>
      </c>
      <c r="B73">
        <v>0.41740973229721134</v>
      </c>
      <c r="C73">
        <f t="shared" si="4"/>
        <v>69.786887812627157</v>
      </c>
      <c r="D73" s="1">
        <f t="shared" si="5"/>
        <v>70</v>
      </c>
      <c r="E73" s="1">
        <f t="shared" si="6"/>
        <v>5</v>
      </c>
      <c r="F73" s="1">
        <f t="shared" si="7"/>
        <v>465.8</v>
      </c>
    </row>
    <row r="74" spans="1:6" x14ac:dyDescent="0.25">
      <c r="A74" s="1">
        <v>73</v>
      </c>
      <c r="B74">
        <v>0.22210721726862703</v>
      </c>
      <c r="C74">
        <f t="shared" si="4"/>
        <v>55.872602223501978</v>
      </c>
      <c r="D74" s="1">
        <f t="shared" si="5"/>
        <v>56</v>
      </c>
      <c r="E74" s="1">
        <f t="shared" si="6"/>
        <v>19</v>
      </c>
      <c r="F74" s="1">
        <f t="shared" si="7"/>
        <v>367.24</v>
      </c>
    </row>
    <row r="75" spans="1:6" x14ac:dyDescent="0.25">
      <c r="A75" s="1">
        <v>74</v>
      </c>
      <c r="B75">
        <v>8.5898450866709997E-2</v>
      </c>
      <c r="C75">
        <f t="shared" si="4"/>
        <v>40.838681253768726</v>
      </c>
      <c r="D75" s="1">
        <f t="shared" si="5"/>
        <v>41</v>
      </c>
      <c r="E75" s="1">
        <f t="shared" si="6"/>
        <v>34</v>
      </c>
      <c r="F75" s="1">
        <f t="shared" si="7"/>
        <v>261.64</v>
      </c>
    </row>
    <row r="76" spans="1:6" x14ac:dyDescent="0.25">
      <c r="A76" s="1">
        <v>75</v>
      </c>
      <c r="B76">
        <v>0.16038944901380436</v>
      </c>
      <c r="C76">
        <f t="shared" si="4"/>
        <v>50.17853655914211</v>
      </c>
      <c r="D76" s="1">
        <f t="shared" si="5"/>
        <v>50</v>
      </c>
      <c r="E76" s="1">
        <f t="shared" si="6"/>
        <v>25</v>
      </c>
      <c r="F76" s="1">
        <f t="shared" si="7"/>
        <v>325</v>
      </c>
    </row>
    <row r="77" spans="1:6" x14ac:dyDescent="0.25">
      <c r="A77" s="1">
        <v>76</v>
      </c>
      <c r="B77">
        <v>0.38622866616083995</v>
      </c>
      <c r="C77">
        <f t="shared" si="4"/>
        <v>67.770947466997427</v>
      </c>
      <c r="D77" s="1">
        <f t="shared" si="5"/>
        <v>68</v>
      </c>
      <c r="E77" s="1">
        <f t="shared" si="6"/>
        <v>7</v>
      </c>
      <c r="F77" s="1">
        <f t="shared" si="7"/>
        <v>451.72</v>
      </c>
    </row>
    <row r="78" spans="1:6" x14ac:dyDescent="0.25">
      <c r="A78" s="1">
        <v>77</v>
      </c>
      <c r="B78">
        <v>0.3340114844801273</v>
      </c>
      <c r="C78">
        <f t="shared" si="4"/>
        <v>64.278426408470594</v>
      </c>
      <c r="D78" s="1">
        <f t="shared" si="5"/>
        <v>64</v>
      </c>
      <c r="E78" s="1">
        <f t="shared" si="6"/>
        <v>11</v>
      </c>
      <c r="F78" s="1">
        <f t="shared" si="7"/>
        <v>423.56</v>
      </c>
    </row>
    <row r="79" spans="1:6" x14ac:dyDescent="0.25">
      <c r="A79" s="1">
        <v>78</v>
      </c>
      <c r="B79">
        <v>0.19504948158489288</v>
      </c>
      <c r="C79">
        <f t="shared" si="4"/>
        <v>53.514052307131131</v>
      </c>
      <c r="D79" s="1">
        <f t="shared" si="5"/>
        <v>54</v>
      </c>
      <c r="E79" s="1">
        <f t="shared" si="6"/>
        <v>21</v>
      </c>
      <c r="F79" s="1">
        <f t="shared" si="7"/>
        <v>353.16</v>
      </c>
    </row>
    <row r="80" spans="1:6" x14ac:dyDescent="0.25">
      <c r="A80" s="1">
        <v>79</v>
      </c>
      <c r="B80">
        <v>0.78589803566136596</v>
      </c>
      <c r="C80">
        <f t="shared" si="4"/>
        <v>94.806721336112943</v>
      </c>
      <c r="D80" s="1">
        <f t="shared" si="5"/>
        <v>75</v>
      </c>
      <c r="E80" s="1">
        <f t="shared" si="6"/>
        <v>0</v>
      </c>
      <c r="F80" s="1">
        <f t="shared" si="7"/>
        <v>501</v>
      </c>
    </row>
    <row r="81" spans="1:6" x14ac:dyDescent="0.25">
      <c r="A81" s="1">
        <v>80</v>
      </c>
      <c r="B81">
        <v>0.96731210382369415</v>
      </c>
      <c r="C81">
        <f t="shared" si="4"/>
        <v>121.06699203289779</v>
      </c>
      <c r="D81" s="1">
        <f t="shared" si="5"/>
        <v>75</v>
      </c>
      <c r="E81" s="1">
        <f t="shared" si="6"/>
        <v>0</v>
      </c>
      <c r="F81" s="1">
        <f t="shared" si="7"/>
        <v>501</v>
      </c>
    </row>
    <row r="82" spans="1:6" x14ac:dyDescent="0.25">
      <c r="A82" s="1">
        <v>81</v>
      </c>
      <c r="B82">
        <v>0.12780851326592912</v>
      </c>
      <c r="C82">
        <f t="shared" si="4"/>
        <v>46.579708416520084</v>
      </c>
      <c r="D82" s="1">
        <f t="shared" si="5"/>
        <v>47</v>
      </c>
      <c r="E82" s="1">
        <f t="shared" si="6"/>
        <v>28</v>
      </c>
      <c r="F82" s="1">
        <f t="shared" si="7"/>
        <v>303.88</v>
      </c>
    </row>
    <row r="83" spans="1:6" x14ac:dyDescent="0.25">
      <c r="A83" s="1">
        <v>82</v>
      </c>
      <c r="B83">
        <v>0.35838685768053657</v>
      </c>
      <c r="C83">
        <f t="shared" si="4"/>
        <v>65.930649990110467</v>
      </c>
      <c r="D83" s="1">
        <f t="shared" si="5"/>
        <v>66</v>
      </c>
      <c r="E83" s="1">
        <f t="shared" si="6"/>
        <v>9</v>
      </c>
      <c r="F83" s="1">
        <f t="shared" si="7"/>
        <v>437.64</v>
      </c>
    </row>
    <row r="84" spans="1:6" x14ac:dyDescent="0.25">
      <c r="A84" s="1">
        <v>83</v>
      </c>
      <c r="B84">
        <v>0.83002815856613454</v>
      </c>
      <c r="C84">
        <f t="shared" si="4"/>
        <v>98.856913354677985</v>
      </c>
      <c r="D84" s="1">
        <f t="shared" si="5"/>
        <v>75</v>
      </c>
      <c r="E84" s="1">
        <f t="shared" si="6"/>
        <v>0</v>
      </c>
      <c r="F84" s="1">
        <f t="shared" si="7"/>
        <v>501</v>
      </c>
    </row>
    <row r="85" spans="1:6" x14ac:dyDescent="0.25">
      <c r="A85" s="1">
        <v>84</v>
      </c>
      <c r="B85">
        <v>0.45137932125571123</v>
      </c>
      <c r="C85">
        <f t="shared" si="4"/>
        <v>71.945568724171579</v>
      </c>
      <c r="D85" s="1">
        <f t="shared" si="5"/>
        <v>72</v>
      </c>
      <c r="E85" s="1">
        <f t="shared" si="6"/>
        <v>3</v>
      </c>
      <c r="F85" s="1">
        <f t="shared" si="7"/>
        <v>479.88</v>
      </c>
    </row>
    <row r="86" spans="1:6" x14ac:dyDescent="0.25">
      <c r="A86" s="1">
        <v>85</v>
      </c>
      <c r="B86">
        <v>0.22224793369033236</v>
      </c>
      <c r="C86">
        <f t="shared" si="4"/>
        <v>55.884416526046863</v>
      </c>
      <c r="D86" s="1">
        <f t="shared" si="5"/>
        <v>56</v>
      </c>
      <c r="E86" s="1">
        <f t="shared" si="6"/>
        <v>19</v>
      </c>
      <c r="F86" s="1">
        <f t="shared" si="7"/>
        <v>367.24</v>
      </c>
    </row>
    <row r="87" spans="1:6" x14ac:dyDescent="0.25">
      <c r="A87" s="1">
        <v>86</v>
      </c>
      <c r="B87">
        <v>1.131943141658065E-2</v>
      </c>
      <c r="C87">
        <f t="shared" si="4"/>
        <v>18.013132746804374</v>
      </c>
      <c r="D87" s="1">
        <f t="shared" si="5"/>
        <v>18</v>
      </c>
      <c r="E87" s="1">
        <f t="shared" si="6"/>
        <v>57</v>
      </c>
      <c r="F87" s="1">
        <f t="shared" si="7"/>
        <v>99.72</v>
      </c>
    </row>
    <row r="88" spans="1:6" x14ac:dyDescent="0.25">
      <c r="A88" s="1">
        <v>87</v>
      </c>
      <c r="B88">
        <v>0.80954065266715425</v>
      </c>
      <c r="C88">
        <f t="shared" si="4"/>
        <v>96.90512059284957</v>
      </c>
      <c r="D88" s="1">
        <f t="shared" si="5"/>
        <v>75</v>
      </c>
      <c r="E88" s="1">
        <f t="shared" si="6"/>
        <v>0</v>
      </c>
      <c r="F88" s="1">
        <f t="shared" si="7"/>
        <v>501</v>
      </c>
    </row>
    <row r="89" spans="1:6" x14ac:dyDescent="0.25">
      <c r="A89" s="1">
        <v>88</v>
      </c>
      <c r="B89">
        <v>0.75276034282925319</v>
      </c>
      <c r="C89">
        <f t="shared" si="4"/>
        <v>92.080045833315012</v>
      </c>
      <c r="D89" s="1">
        <f t="shared" si="5"/>
        <v>75</v>
      </c>
      <c r="E89" s="1">
        <f t="shared" si="6"/>
        <v>0</v>
      </c>
      <c r="F89" s="1">
        <f t="shared" si="7"/>
        <v>501</v>
      </c>
    </row>
    <row r="90" spans="1:6" x14ac:dyDescent="0.25">
      <c r="A90" s="1">
        <v>89</v>
      </c>
      <c r="B90">
        <v>1.827620238993799E-2</v>
      </c>
      <c r="C90">
        <f t="shared" si="4"/>
        <v>22.731786413063645</v>
      </c>
      <c r="D90" s="1">
        <f t="shared" si="5"/>
        <v>23</v>
      </c>
      <c r="E90" s="1">
        <f t="shared" si="6"/>
        <v>52</v>
      </c>
      <c r="F90" s="1">
        <f t="shared" si="7"/>
        <v>134.91999999999999</v>
      </c>
    </row>
    <row r="91" spans="1:6" x14ac:dyDescent="0.25">
      <c r="A91" s="1">
        <v>90</v>
      </c>
      <c r="B91">
        <v>0.15781175498763411</v>
      </c>
      <c r="C91">
        <f t="shared" si="4"/>
        <v>49.912698706685717</v>
      </c>
      <c r="D91" s="1">
        <f t="shared" si="5"/>
        <v>50</v>
      </c>
      <c r="E91" s="1">
        <f t="shared" si="6"/>
        <v>25</v>
      </c>
      <c r="F91" s="1">
        <f t="shared" si="7"/>
        <v>325</v>
      </c>
    </row>
    <row r="92" spans="1:6" x14ac:dyDescent="0.25">
      <c r="A92" s="1">
        <v>91</v>
      </c>
      <c r="B92">
        <v>0.89844493754658328</v>
      </c>
      <c r="C92">
        <f t="shared" si="4"/>
        <v>106.81851363590354</v>
      </c>
      <c r="D92" s="1">
        <f t="shared" si="5"/>
        <v>75</v>
      </c>
      <c r="E92" s="1">
        <f t="shared" si="6"/>
        <v>0</v>
      </c>
      <c r="F92" s="1">
        <f t="shared" si="7"/>
        <v>501</v>
      </c>
    </row>
    <row r="93" spans="1:6" x14ac:dyDescent="0.25">
      <c r="A93" s="1">
        <v>92</v>
      </c>
      <c r="B93">
        <v>0.76087931565792599</v>
      </c>
      <c r="C93">
        <f t="shared" si="4"/>
        <v>92.728348266453736</v>
      </c>
      <c r="D93" s="1">
        <f t="shared" si="5"/>
        <v>75</v>
      </c>
      <c r="E93" s="1">
        <f t="shared" si="6"/>
        <v>0</v>
      </c>
      <c r="F93" s="1">
        <f t="shared" si="7"/>
        <v>501</v>
      </c>
    </row>
    <row r="94" spans="1:6" x14ac:dyDescent="0.25">
      <c r="A94" s="1">
        <v>93</v>
      </c>
      <c r="B94">
        <v>0.32223940760324465</v>
      </c>
      <c r="C94">
        <f t="shared" si="4"/>
        <v>63.463855574848154</v>
      </c>
      <c r="D94" s="1">
        <f t="shared" si="5"/>
        <v>63</v>
      </c>
      <c r="E94" s="1">
        <f t="shared" si="6"/>
        <v>12</v>
      </c>
      <c r="F94" s="1">
        <f t="shared" si="7"/>
        <v>416.52</v>
      </c>
    </row>
    <row r="95" spans="1:6" x14ac:dyDescent="0.25">
      <c r="A95" s="1">
        <v>94</v>
      </c>
      <c r="B95">
        <v>0.99164353379745085</v>
      </c>
      <c r="C95">
        <f t="shared" si="4"/>
        <v>134.82407169983557</v>
      </c>
      <c r="D95" s="1">
        <f t="shared" si="5"/>
        <v>75</v>
      </c>
      <c r="E95" s="1">
        <f t="shared" si="6"/>
        <v>0</v>
      </c>
      <c r="F95" s="1">
        <f t="shared" si="7"/>
        <v>501</v>
      </c>
    </row>
    <row r="96" spans="1:6" x14ac:dyDescent="0.25">
      <c r="A96" s="1">
        <v>95</v>
      </c>
      <c r="B96">
        <v>0.75823935317775004</v>
      </c>
      <c r="C96">
        <f t="shared" si="4"/>
        <v>92.516256930687305</v>
      </c>
      <c r="D96" s="1">
        <f t="shared" si="5"/>
        <v>75</v>
      </c>
      <c r="E96" s="1">
        <f t="shared" si="6"/>
        <v>0</v>
      </c>
      <c r="F96" s="1">
        <f t="shared" si="7"/>
        <v>501</v>
      </c>
    </row>
    <row r="97" spans="1:6" x14ac:dyDescent="0.25">
      <c r="A97" s="1">
        <v>96</v>
      </c>
      <c r="B97">
        <v>0.69057720918460086</v>
      </c>
      <c r="C97">
        <f t="shared" si="4"/>
        <v>87.437178064872455</v>
      </c>
      <c r="D97" s="1">
        <f t="shared" si="5"/>
        <v>75</v>
      </c>
      <c r="E97" s="1">
        <f t="shared" si="6"/>
        <v>0</v>
      </c>
      <c r="F97" s="1">
        <f t="shared" si="7"/>
        <v>501</v>
      </c>
    </row>
    <row r="98" spans="1:6" x14ac:dyDescent="0.25">
      <c r="A98" s="1">
        <v>97</v>
      </c>
      <c r="B98">
        <v>0.76259539570136459</v>
      </c>
      <c r="C98">
        <f t="shared" si="4"/>
        <v>92.866902525419434</v>
      </c>
      <c r="D98" s="1">
        <f t="shared" si="5"/>
        <v>75</v>
      </c>
      <c r="E98" s="1">
        <f t="shared" si="6"/>
        <v>0</v>
      </c>
      <c r="F98" s="1">
        <f t="shared" si="7"/>
        <v>501</v>
      </c>
    </row>
    <row r="99" spans="1:6" x14ac:dyDescent="0.25">
      <c r="A99" s="1">
        <v>98</v>
      </c>
      <c r="B99">
        <v>0.61928519788001468</v>
      </c>
      <c r="C99">
        <f t="shared" si="4"/>
        <v>82.590099985300029</v>
      </c>
      <c r="D99" s="1">
        <f t="shared" si="5"/>
        <v>75</v>
      </c>
      <c r="E99" s="1">
        <f t="shared" si="6"/>
        <v>0</v>
      </c>
      <c r="F99" s="1">
        <f t="shared" si="7"/>
        <v>501</v>
      </c>
    </row>
    <row r="100" spans="1:6" x14ac:dyDescent="0.25">
      <c r="A100" s="1">
        <v>99</v>
      </c>
      <c r="B100">
        <v>0.73156971606114896</v>
      </c>
      <c r="C100">
        <f t="shared" si="4"/>
        <v>90.43918392424375</v>
      </c>
      <c r="D100" s="1">
        <f t="shared" si="5"/>
        <v>75</v>
      </c>
      <c r="E100" s="1">
        <f t="shared" si="6"/>
        <v>0</v>
      </c>
      <c r="F100" s="1">
        <f t="shared" si="7"/>
        <v>501</v>
      </c>
    </row>
    <row r="101" spans="1:6" x14ac:dyDescent="0.25">
      <c r="A101" s="1">
        <v>100</v>
      </c>
      <c r="B101">
        <v>0.8423082377806459</v>
      </c>
      <c r="C101">
        <f t="shared" si="4"/>
        <v>100.0997452921397</v>
      </c>
      <c r="D101" s="1">
        <f t="shared" si="5"/>
        <v>75</v>
      </c>
      <c r="E101" s="1">
        <f t="shared" si="6"/>
        <v>0</v>
      </c>
      <c r="F101" s="1">
        <f t="shared" si="7"/>
        <v>501</v>
      </c>
    </row>
    <row r="102" spans="1:6" x14ac:dyDescent="0.25">
      <c r="A102" s="1">
        <v>101</v>
      </c>
      <c r="B102">
        <v>0.25367174957529515</v>
      </c>
      <c r="C102">
        <f t="shared" si="4"/>
        <v>58.425505304014621</v>
      </c>
      <c r="D102" s="1">
        <f t="shared" si="5"/>
        <v>58</v>
      </c>
      <c r="E102" s="1">
        <f t="shared" si="6"/>
        <v>17</v>
      </c>
      <c r="F102" s="1">
        <f t="shared" si="7"/>
        <v>381.32</v>
      </c>
    </row>
    <row r="103" spans="1:6" x14ac:dyDescent="0.25">
      <c r="A103" s="1">
        <v>102</v>
      </c>
      <c r="B103">
        <v>1.7169543861422554E-2</v>
      </c>
      <c r="C103">
        <f t="shared" si="4"/>
        <v>22.09831855522858</v>
      </c>
      <c r="D103" s="1">
        <f t="shared" si="5"/>
        <v>22</v>
      </c>
      <c r="E103" s="1">
        <f t="shared" si="6"/>
        <v>53</v>
      </c>
      <c r="F103" s="1">
        <f t="shared" si="7"/>
        <v>127.88</v>
      </c>
    </row>
    <row r="104" spans="1:6" x14ac:dyDescent="0.25">
      <c r="A104" s="1">
        <v>103</v>
      </c>
      <c r="B104">
        <v>0.14211511832731316</v>
      </c>
      <c r="C104">
        <f t="shared" si="4"/>
        <v>48.228380640090108</v>
      </c>
      <c r="D104" s="1">
        <f t="shared" si="5"/>
        <v>48</v>
      </c>
      <c r="E104" s="1">
        <f t="shared" si="6"/>
        <v>27</v>
      </c>
      <c r="F104" s="1">
        <f t="shared" si="7"/>
        <v>310.92</v>
      </c>
    </row>
    <row r="105" spans="1:6" x14ac:dyDescent="0.25">
      <c r="A105" s="1">
        <v>104</v>
      </c>
      <c r="B105">
        <v>0.71378838785864973</v>
      </c>
      <c r="C105">
        <f t="shared" si="4"/>
        <v>89.112157387832525</v>
      </c>
      <c r="D105" s="1">
        <f t="shared" si="5"/>
        <v>75</v>
      </c>
      <c r="E105" s="1">
        <f t="shared" si="6"/>
        <v>0</v>
      </c>
      <c r="F105" s="1">
        <f t="shared" si="7"/>
        <v>501</v>
      </c>
    </row>
    <row r="106" spans="1:6" x14ac:dyDescent="0.25">
      <c r="A106" s="1">
        <v>105</v>
      </c>
      <c r="B106">
        <v>0.56346610877175984</v>
      </c>
      <c r="C106">
        <f t="shared" si="4"/>
        <v>78.994074647803203</v>
      </c>
      <c r="D106" s="1">
        <f t="shared" si="5"/>
        <v>75</v>
      </c>
      <c r="E106" s="1">
        <f t="shared" si="6"/>
        <v>0</v>
      </c>
      <c r="F106" s="1">
        <f t="shared" si="7"/>
        <v>501</v>
      </c>
    </row>
    <row r="107" spans="1:6" x14ac:dyDescent="0.25">
      <c r="A107" s="1">
        <v>106</v>
      </c>
      <c r="B107">
        <v>0.52657400831132106</v>
      </c>
      <c r="C107">
        <f t="shared" si="4"/>
        <v>76.666512418014619</v>
      </c>
      <c r="D107" s="1">
        <f t="shared" si="5"/>
        <v>75</v>
      </c>
      <c r="E107" s="1">
        <f t="shared" si="6"/>
        <v>0</v>
      </c>
      <c r="F107" s="1">
        <f t="shared" si="7"/>
        <v>501</v>
      </c>
    </row>
    <row r="108" spans="1:6" x14ac:dyDescent="0.25">
      <c r="A108" s="1">
        <v>107</v>
      </c>
      <c r="B108">
        <v>0.28746514427500014</v>
      </c>
      <c r="C108">
        <f t="shared" si="4"/>
        <v>60.97986806112533</v>
      </c>
      <c r="D108" s="1">
        <f t="shared" si="5"/>
        <v>61</v>
      </c>
      <c r="E108" s="1">
        <f t="shared" si="6"/>
        <v>14</v>
      </c>
      <c r="F108" s="1">
        <f t="shared" si="7"/>
        <v>402.44</v>
      </c>
    </row>
    <row r="109" spans="1:6" x14ac:dyDescent="0.25">
      <c r="A109" s="1">
        <v>108</v>
      </c>
      <c r="B109">
        <v>0.98523390387508003</v>
      </c>
      <c r="C109">
        <f t="shared" si="4"/>
        <v>129.40771522312301</v>
      </c>
      <c r="D109" s="1">
        <f t="shared" si="5"/>
        <v>75</v>
      </c>
      <c r="E109" s="1">
        <f t="shared" si="6"/>
        <v>0</v>
      </c>
      <c r="F109" s="1">
        <f t="shared" si="7"/>
        <v>501</v>
      </c>
    </row>
    <row r="110" spans="1:6" x14ac:dyDescent="0.25">
      <c r="A110" s="1">
        <v>109</v>
      </c>
      <c r="B110">
        <v>0.38062692615301041</v>
      </c>
      <c r="C110">
        <f t="shared" si="4"/>
        <v>67.404133267649172</v>
      </c>
      <c r="D110" s="1">
        <f t="shared" si="5"/>
        <v>67</v>
      </c>
      <c r="E110" s="1">
        <f t="shared" si="6"/>
        <v>8</v>
      </c>
      <c r="F110" s="1">
        <f t="shared" si="7"/>
        <v>444.68</v>
      </c>
    </row>
    <row r="111" spans="1:6" x14ac:dyDescent="0.25">
      <c r="A111" s="1">
        <v>110</v>
      </c>
      <c r="B111">
        <v>0.89328613708514315</v>
      </c>
      <c r="C111">
        <f t="shared" si="4"/>
        <v>106.10488027889632</v>
      </c>
      <c r="D111" s="1">
        <f t="shared" si="5"/>
        <v>75</v>
      </c>
      <c r="E111" s="1">
        <f t="shared" si="6"/>
        <v>0</v>
      </c>
      <c r="F111" s="1">
        <f t="shared" si="7"/>
        <v>501</v>
      </c>
    </row>
    <row r="112" spans="1:6" x14ac:dyDescent="0.25">
      <c r="A112" s="1">
        <v>111</v>
      </c>
      <c r="B112">
        <v>0.57744591193304851</v>
      </c>
      <c r="C112">
        <f t="shared" si="4"/>
        <v>79.884094291856556</v>
      </c>
      <c r="D112" s="1">
        <f t="shared" si="5"/>
        <v>75</v>
      </c>
      <c r="E112" s="1">
        <f t="shared" si="6"/>
        <v>0</v>
      </c>
      <c r="F112" s="1">
        <f t="shared" si="7"/>
        <v>501</v>
      </c>
    </row>
    <row r="113" spans="1:6" x14ac:dyDescent="0.25">
      <c r="A113" s="1">
        <v>112</v>
      </c>
      <c r="B113">
        <v>0.7801228502169294</v>
      </c>
      <c r="C113">
        <f t="shared" si="4"/>
        <v>94.31520460048857</v>
      </c>
      <c r="D113" s="1">
        <f t="shared" si="5"/>
        <v>75</v>
      </c>
      <c r="E113" s="1">
        <f t="shared" si="6"/>
        <v>0</v>
      </c>
      <c r="F113" s="1">
        <f t="shared" si="7"/>
        <v>501</v>
      </c>
    </row>
    <row r="114" spans="1:6" x14ac:dyDescent="0.25">
      <c r="A114" s="1">
        <v>113</v>
      </c>
      <c r="B114">
        <v>0.73500501720513589</v>
      </c>
      <c r="C114">
        <f t="shared" si="4"/>
        <v>90.700533304638029</v>
      </c>
      <c r="D114" s="1">
        <f t="shared" si="5"/>
        <v>75</v>
      </c>
      <c r="E114" s="1">
        <f t="shared" si="6"/>
        <v>0</v>
      </c>
      <c r="F114" s="1">
        <f t="shared" si="7"/>
        <v>501</v>
      </c>
    </row>
    <row r="115" spans="1:6" x14ac:dyDescent="0.25">
      <c r="A115" s="1">
        <v>114</v>
      </c>
      <c r="B115">
        <v>3.9032428901189853E-2</v>
      </c>
      <c r="C115">
        <f t="shared" si="4"/>
        <v>30.949343058910372</v>
      </c>
      <c r="D115" s="1">
        <f t="shared" si="5"/>
        <v>31</v>
      </c>
      <c r="E115" s="1">
        <f t="shared" si="6"/>
        <v>44</v>
      </c>
      <c r="F115" s="1">
        <f t="shared" si="7"/>
        <v>191.24</v>
      </c>
    </row>
    <row r="116" spans="1:6" x14ac:dyDescent="0.25">
      <c r="A116" s="1">
        <v>115</v>
      </c>
      <c r="B116">
        <v>0.66510972705766747</v>
      </c>
      <c r="C116">
        <f t="shared" si="4"/>
        <v>85.661230386406828</v>
      </c>
      <c r="D116" s="1">
        <f t="shared" si="5"/>
        <v>75</v>
      </c>
      <c r="E116" s="1">
        <f t="shared" si="6"/>
        <v>0</v>
      </c>
      <c r="F116" s="1">
        <f t="shared" si="7"/>
        <v>501</v>
      </c>
    </row>
    <row r="117" spans="1:6" x14ac:dyDescent="0.25">
      <c r="A117" s="1">
        <v>116</v>
      </c>
      <c r="B117">
        <v>0.73982675826387356</v>
      </c>
      <c r="C117">
        <f t="shared" si="4"/>
        <v>91.070285060652708</v>
      </c>
      <c r="D117" s="1">
        <f t="shared" si="5"/>
        <v>75</v>
      </c>
      <c r="E117" s="1">
        <f t="shared" si="6"/>
        <v>0</v>
      </c>
      <c r="F117" s="1">
        <f t="shared" si="7"/>
        <v>501</v>
      </c>
    </row>
    <row r="118" spans="1:6" x14ac:dyDescent="0.25">
      <c r="A118" s="1">
        <v>117</v>
      </c>
      <c r="B118">
        <v>0.10679460320742173</v>
      </c>
      <c r="C118">
        <f t="shared" si="4"/>
        <v>43.906088300406168</v>
      </c>
      <c r="D118" s="1">
        <f t="shared" si="5"/>
        <v>44</v>
      </c>
      <c r="E118" s="1">
        <f t="shared" si="6"/>
        <v>31</v>
      </c>
      <c r="F118" s="1">
        <f t="shared" si="7"/>
        <v>282.76</v>
      </c>
    </row>
    <row r="119" spans="1:6" x14ac:dyDescent="0.25">
      <c r="A119" s="1">
        <v>118</v>
      </c>
      <c r="B119">
        <v>0.56306286063204902</v>
      </c>
      <c r="C119">
        <f t="shared" si="4"/>
        <v>78.968482343627073</v>
      </c>
      <c r="D119" s="1">
        <f t="shared" si="5"/>
        <v>75</v>
      </c>
      <c r="E119" s="1">
        <f t="shared" si="6"/>
        <v>0</v>
      </c>
      <c r="F119" s="1">
        <f t="shared" si="7"/>
        <v>501</v>
      </c>
    </row>
    <row r="120" spans="1:6" x14ac:dyDescent="0.25">
      <c r="A120" s="1">
        <v>119</v>
      </c>
      <c r="B120">
        <v>0.58848587113835282</v>
      </c>
      <c r="C120">
        <f t="shared" si="4"/>
        <v>80.591294876238621</v>
      </c>
      <c r="D120" s="1">
        <f t="shared" si="5"/>
        <v>75</v>
      </c>
      <c r="E120" s="1">
        <f t="shared" si="6"/>
        <v>0</v>
      </c>
      <c r="F120" s="1">
        <f t="shared" si="7"/>
        <v>501</v>
      </c>
    </row>
    <row r="121" spans="1:6" x14ac:dyDescent="0.25">
      <c r="A121" s="1">
        <v>120</v>
      </c>
      <c r="B121">
        <v>0.54138303010676492</v>
      </c>
      <c r="C121">
        <f t="shared" si="4"/>
        <v>77.597965207026263</v>
      </c>
      <c r="D121" s="1">
        <f t="shared" si="5"/>
        <v>75</v>
      </c>
      <c r="E121" s="1">
        <f t="shared" si="6"/>
        <v>0</v>
      </c>
      <c r="F121" s="1">
        <f t="shared" si="7"/>
        <v>501</v>
      </c>
    </row>
    <row r="122" spans="1:6" x14ac:dyDescent="0.25">
      <c r="A122" s="1">
        <v>121</v>
      </c>
      <c r="B122">
        <v>6.436097051253209E-2</v>
      </c>
      <c r="C122">
        <f t="shared" si="4"/>
        <v>37.020971586340842</v>
      </c>
      <c r="D122" s="1">
        <f t="shared" si="5"/>
        <v>37</v>
      </c>
      <c r="E122" s="1">
        <f t="shared" si="6"/>
        <v>38</v>
      </c>
      <c r="F122" s="1">
        <f t="shared" si="7"/>
        <v>233.48</v>
      </c>
    </row>
    <row r="123" spans="1:6" x14ac:dyDescent="0.25">
      <c r="A123" s="1">
        <v>122</v>
      </c>
      <c r="B123">
        <v>5.3631988057724067E-2</v>
      </c>
      <c r="C123">
        <f t="shared" si="4"/>
        <v>34.734660962272329</v>
      </c>
      <c r="D123" s="1">
        <f t="shared" si="5"/>
        <v>35</v>
      </c>
      <c r="E123" s="1">
        <f t="shared" si="6"/>
        <v>40</v>
      </c>
      <c r="F123" s="1">
        <f t="shared" si="7"/>
        <v>219.4</v>
      </c>
    </row>
    <row r="124" spans="1:6" x14ac:dyDescent="0.25">
      <c r="A124" s="1">
        <v>123</v>
      </c>
      <c r="B124">
        <v>0.81119827270875355</v>
      </c>
      <c r="C124">
        <f t="shared" si="4"/>
        <v>97.058015229940068</v>
      </c>
      <c r="D124" s="1">
        <f t="shared" si="5"/>
        <v>75</v>
      </c>
      <c r="E124" s="1">
        <f t="shared" si="6"/>
        <v>0</v>
      </c>
      <c r="F124" s="1">
        <f t="shared" si="7"/>
        <v>501</v>
      </c>
    </row>
    <row r="125" spans="1:6" x14ac:dyDescent="0.25">
      <c r="A125" s="1">
        <v>124</v>
      </c>
      <c r="B125">
        <v>0.38484185834744888</v>
      </c>
      <c r="C125">
        <f t="shared" si="4"/>
        <v>67.680284156456651</v>
      </c>
      <c r="D125" s="1">
        <f t="shared" si="5"/>
        <v>68</v>
      </c>
      <c r="E125" s="1">
        <f t="shared" si="6"/>
        <v>7</v>
      </c>
      <c r="F125" s="1">
        <f t="shared" si="7"/>
        <v>451.72</v>
      </c>
    </row>
    <row r="126" spans="1:6" x14ac:dyDescent="0.25">
      <c r="A126" s="1">
        <v>125</v>
      </c>
      <c r="B126">
        <v>0.82142471209733381</v>
      </c>
      <c r="C126">
        <f t="shared" si="4"/>
        <v>98.020204869226333</v>
      </c>
      <c r="D126" s="1">
        <f t="shared" si="5"/>
        <v>75</v>
      </c>
      <c r="E126" s="1">
        <f t="shared" si="6"/>
        <v>0</v>
      </c>
      <c r="F126" s="1">
        <f t="shared" si="7"/>
        <v>501</v>
      </c>
    </row>
    <row r="127" spans="1:6" x14ac:dyDescent="0.25">
      <c r="A127" s="1">
        <v>126</v>
      </c>
      <c r="B127">
        <v>6.1730458585850134E-2</v>
      </c>
      <c r="C127">
        <f t="shared" si="4"/>
        <v>36.48979841731731</v>
      </c>
      <c r="D127" s="1">
        <f t="shared" si="5"/>
        <v>36</v>
      </c>
      <c r="E127" s="1">
        <f t="shared" si="6"/>
        <v>39</v>
      </c>
      <c r="F127" s="1">
        <f t="shared" si="7"/>
        <v>226.44</v>
      </c>
    </row>
    <row r="128" spans="1:6" x14ac:dyDescent="0.25">
      <c r="A128" s="1">
        <v>127</v>
      </c>
      <c r="B128">
        <v>2.2084275234918405E-2</v>
      </c>
      <c r="C128">
        <f t="shared" si="4"/>
        <v>24.687807141426774</v>
      </c>
      <c r="D128" s="1">
        <f t="shared" si="5"/>
        <v>25</v>
      </c>
      <c r="E128" s="1">
        <f t="shared" si="6"/>
        <v>50</v>
      </c>
      <c r="F128" s="1">
        <f t="shared" si="7"/>
        <v>149</v>
      </c>
    </row>
    <row r="129" spans="1:6" x14ac:dyDescent="0.25">
      <c r="A129" s="1">
        <v>128</v>
      </c>
      <c r="B129">
        <v>0.66820029131755321</v>
      </c>
      <c r="C129">
        <f t="shared" si="4"/>
        <v>85.873726003329665</v>
      </c>
      <c r="D129" s="1">
        <f t="shared" si="5"/>
        <v>75</v>
      </c>
      <c r="E129" s="1">
        <f t="shared" si="6"/>
        <v>0</v>
      </c>
      <c r="F129" s="1">
        <f t="shared" si="7"/>
        <v>501</v>
      </c>
    </row>
    <row r="130" spans="1:6" x14ac:dyDescent="0.25">
      <c r="A130" s="1">
        <v>129</v>
      </c>
      <c r="B130">
        <v>0.71223671374039776</v>
      </c>
      <c r="C130">
        <f t="shared" si="4"/>
        <v>88.99827244937579</v>
      </c>
      <c r="D130" s="1">
        <f t="shared" si="5"/>
        <v>75</v>
      </c>
      <c r="E130" s="1">
        <f t="shared" si="6"/>
        <v>0</v>
      </c>
      <c r="F130" s="1">
        <f t="shared" si="7"/>
        <v>501</v>
      </c>
    </row>
    <row r="131" spans="1:6" x14ac:dyDescent="0.25">
      <c r="A131" s="1">
        <v>130</v>
      </c>
      <c r="B131">
        <v>0.30566485805871824</v>
      </c>
      <c r="C131">
        <f t="shared" ref="C131:C194" si="8">_xlfn.NORM.INV(B131,75,25)</f>
        <v>62.2955927169006</v>
      </c>
      <c r="D131" s="1">
        <f t="shared" ref="D131:D194" si="9">MIN(ROUND(C131,0),$H$2)</f>
        <v>62</v>
      </c>
      <c r="E131" s="1">
        <f t="shared" ref="E131:E194" si="10">$H$2-D131</f>
        <v>13</v>
      </c>
      <c r="F131" s="1">
        <f t="shared" ref="F131:F194" si="11">7*D131-$H$2/25*8-E131/25*1</f>
        <v>409.48</v>
      </c>
    </row>
    <row r="132" spans="1:6" x14ac:dyDescent="0.25">
      <c r="A132" s="1">
        <v>131</v>
      </c>
      <c r="B132">
        <v>0.99673092684448217</v>
      </c>
      <c r="C132">
        <f t="shared" si="8"/>
        <v>142.98740286640222</v>
      </c>
      <c r="D132" s="1">
        <f t="shared" si="9"/>
        <v>75</v>
      </c>
      <c r="E132" s="1">
        <f t="shared" si="10"/>
        <v>0</v>
      </c>
      <c r="F132" s="1">
        <f t="shared" si="11"/>
        <v>501</v>
      </c>
    </row>
    <row r="133" spans="1:6" x14ac:dyDescent="0.25">
      <c r="A133" s="1">
        <v>132</v>
      </c>
      <c r="B133">
        <v>0.49683475157054724</v>
      </c>
      <c r="C133">
        <f t="shared" si="8"/>
        <v>74.801645388669328</v>
      </c>
      <c r="D133" s="1">
        <f t="shared" si="9"/>
        <v>75</v>
      </c>
      <c r="E133" s="1">
        <f t="shared" si="10"/>
        <v>0</v>
      </c>
      <c r="F133" s="1">
        <f t="shared" si="11"/>
        <v>501</v>
      </c>
    </row>
    <row r="134" spans="1:6" x14ac:dyDescent="0.25">
      <c r="A134" s="1">
        <v>133</v>
      </c>
      <c r="B134">
        <v>0.36144652794692023</v>
      </c>
      <c r="C134">
        <f t="shared" si="8"/>
        <v>66.13512611464985</v>
      </c>
      <c r="D134" s="1">
        <f t="shared" si="9"/>
        <v>66</v>
      </c>
      <c r="E134" s="1">
        <f t="shared" si="10"/>
        <v>9</v>
      </c>
      <c r="F134" s="1">
        <f t="shared" si="11"/>
        <v>437.64</v>
      </c>
    </row>
    <row r="135" spans="1:6" x14ac:dyDescent="0.25">
      <c r="A135" s="1">
        <v>134</v>
      </c>
      <c r="B135">
        <v>0.6723836441528287</v>
      </c>
      <c r="C135">
        <f t="shared" si="8"/>
        <v>86.162617729785225</v>
      </c>
      <c r="D135" s="1">
        <f t="shared" si="9"/>
        <v>75</v>
      </c>
      <c r="E135" s="1">
        <f t="shared" si="10"/>
        <v>0</v>
      </c>
      <c r="F135" s="1">
        <f t="shared" si="11"/>
        <v>501</v>
      </c>
    </row>
    <row r="136" spans="1:6" x14ac:dyDescent="0.25">
      <c r="A136" s="1">
        <v>135</v>
      </c>
      <c r="B136">
        <v>0.8657627352433892</v>
      </c>
      <c r="C136">
        <f t="shared" si="8"/>
        <v>102.66455945842972</v>
      </c>
      <c r="D136" s="1">
        <f t="shared" si="9"/>
        <v>75</v>
      </c>
      <c r="E136" s="1">
        <f t="shared" si="10"/>
        <v>0</v>
      </c>
      <c r="F136" s="1">
        <f t="shared" si="11"/>
        <v>501</v>
      </c>
    </row>
    <row r="137" spans="1:6" x14ac:dyDescent="0.25">
      <c r="A137" s="1">
        <v>136</v>
      </c>
      <c r="B137">
        <v>0.38525943030628074</v>
      </c>
      <c r="C137">
        <f t="shared" si="8"/>
        <v>67.707593225214723</v>
      </c>
      <c r="D137" s="1">
        <f t="shared" si="9"/>
        <v>68</v>
      </c>
      <c r="E137" s="1">
        <f t="shared" si="10"/>
        <v>7</v>
      </c>
      <c r="F137" s="1">
        <f t="shared" si="11"/>
        <v>451.72</v>
      </c>
    </row>
    <row r="138" spans="1:6" x14ac:dyDescent="0.25">
      <c r="A138" s="1">
        <v>137</v>
      </c>
      <c r="B138">
        <v>0.72506547750858885</v>
      </c>
      <c r="C138">
        <f t="shared" si="8"/>
        <v>89.948909269200982</v>
      </c>
      <c r="D138" s="1">
        <f t="shared" si="9"/>
        <v>75</v>
      </c>
      <c r="E138" s="1">
        <f t="shared" si="10"/>
        <v>0</v>
      </c>
      <c r="F138" s="1">
        <f t="shared" si="11"/>
        <v>501</v>
      </c>
    </row>
    <row r="139" spans="1:6" x14ac:dyDescent="0.25">
      <c r="A139" s="1">
        <v>138</v>
      </c>
      <c r="B139">
        <v>0.67389909518724644</v>
      </c>
      <c r="C139">
        <f t="shared" si="8"/>
        <v>86.267637784059048</v>
      </c>
      <c r="D139" s="1">
        <f t="shared" si="9"/>
        <v>75</v>
      </c>
      <c r="E139" s="1">
        <f t="shared" si="10"/>
        <v>0</v>
      </c>
      <c r="F139" s="1">
        <f t="shared" si="11"/>
        <v>501</v>
      </c>
    </row>
    <row r="140" spans="1:6" x14ac:dyDescent="0.25">
      <c r="A140" s="1">
        <v>139</v>
      </c>
      <c r="B140">
        <v>0.1699978499350483</v>
      </c>
      <c r="C140">
        <f t="shared" si="8"/>
        <v>51.14565625842252</v>
      </c>
      <c r="D140" s="1">
        <f t="shared" si="9"/>
        <v>51</v>
      </c>
      <c r="E140" s="1">
        <f t="shared" si="10"/>
        <v>24</v>
      </c>
      <c r="F140" s="1">
        <f t="shared" si="11"/>
        <v>332.04</v>
      </c>
    </row>
    <row r="141" spans="1:6" x14ac:dyDescent="0.25">
      <c r="A141" s="1">
        <v>140</v>
      </c>
      <c r="B141">
        <v>0.31271438858729905</v>
      </c>
      <c r="C141">
        <f t="shared" si="8"/>
        <v>62.795726880648402</v>
      </c>
      <c r="D141" s="1">
        <f t="shared" si="9"/>
        <v>63</v>
      </c>
      <c r="E141" s="1">
        <f t="shared" si="10"/>
        <v>12</v>
      </c>
      <c r="F141" s="1">
        <f t="shared" si="11"/>
        <v>416.52</v>
      </c>
    </row>
    <row r="142" spans="1:6" x14ac:dyDescent="0.25">
      <c r="A142" s="1">
        <v>141</v>
      </c>
      <c r="B142">
        <v>0.44210067741843251</v>
      </c>
      <c r="C142">
        <f t="shared" si="8"/>
        <v>71.358865910675533</v>
      </c>
      <c r="D142" s="1">
        <f t="shared" si="9"/>
        <v>71</v>
      </c>
      <c r="E142" s="1">
        <f t="shared" si="10"/>
        <v>4</v>
      </c>
      <c r="F142" s="1">
        <f t="shared" si="11"/>
        <v>472.84</v>
      </c>
    </row>
    <row r="143" spans="1:6" x14ac:dyDescent="0.25">
      <c r="A143" s="1">
        <v>142</v>
      </c>
      <c r="B143">
        <v>0.63330072465597098</v>
      </c>
      <c r="C143">
        <f t="shared" si="8"/>
        <v>83.515205159967536</v>
      </c>
      <c r="D143" s="1">
        <f t="shared" si="9"/>
        <v>75</v>
      </c>
      <c r="E143" s="1">
        <f t="shared" si="10"/>
        <v>0</v>
      </c>
      <c r="F143" s="1">
        <f t="shared" si="11"/>
        <v>501</v>
      </c>
    </row>
    <row r="144" spans="1:6" x14ac:dyDescent="0.25">
      <c r="A144" s="1">
        <v>143</v>
      </c>
      <c r="B144">
        <v>0.22446443497993385</v>
      </c>
      <c r="C144">
        <f t="shared" si="8"/>
        <v>56.069950741563211</v>
      </c>
      <c r="D144" s="1">
        <f t="shared" si="9"/>
        <v>56</v>
      </c>
      <c r="E144" s="1">
        <f t="shared" si="10"/>
        <v>19</v>
      </c>
      <c r="F144" s="1">
        <f t="shared" si="11"/>
        <v>367.24</v>
      </c>
    </row>
    <row r="145" spans="1:6" x14ac:dyDescent="0.25">
      <c r="A145" s="1">
        <v>144</v>
      </c>
      <c r="B145">
        <v>0.79139855193310371</v>
      </c>
      <c r="C145">
        <f t="shared" si="8"/>
        <v>95.282086941653219</v>
      </c>
      <c r="D145" s="1">
        <f t="shared" si="9"/>
        <v>75</v>
      </c>
      <c r="E145" s="1">
        <f t="shared" si="10"/>
        <v>0</v>
      </c>
      <c r="F145" s="1">
        <f t="shared" si="11"/>
        <v>501</v>
      </c>
    </row>
    <row r="146" spans="1:6" x14ac:dyDescent="0.25">
      <c r="A146" s="1">
        <v>145</v>
      </c>
      <c r="B146">
        <v>0.70791170721597474</v>
      </c>
      <c r="C146">
        <f t="shared" si="8"/>
        <v>88.682356540963596</v>
      </c>
      <c r="D146" s="1">
        <f t="shared" si="9"/>
        <v>75</v>
      </c>
      <c r="E146" s="1">
        <f t="shared" si="10"/>
        <v>0</v>
      </c>
      <c r="F146" s="1">
        <f t="shared" si="11"/>
        <v>501</v>
      </c>
    </row>
    <row r="147" spans="1:6" x14ac:dyDescent="0.25">
      <c r="A147" s="1">
        <v>146</v>
      </c>
      <c r="B147">
        <v>0.34924625464492776</v>
      </c>
      <c r="C147">
        <f t="shared" si="8"/>
        <v>65.316094470551207</v>
      </c>
      <c r="D147" s="1">
        <f t="shared" si="9"/>
        <v>65</v>
      </c>
      <c r="E147" s="1">
        <f t="shared" si="10"/>
        <v>10</v>
      </c>
      <c r="F147" s="1">
        <f t="shared" si="11"/>
        <v>430.6</v>
      </c>
    </row>
    <row r="148" spans="1:6" x14ac:dyDescent="0.25">
      <c r="A148" s="1">
        <v>147</v>
      </c>
      <c r="B148">
        <v>0.89974567160513097</v>
      </c>
      <c r="C148">
        <f t="shared" si="8"/>
        <v>107.00259326657243</v>
      </c>
      <c r="D148" s="1">
        <f t="shared" si="9"/>
        <v>75</v>
      </c>
      <c r="E148" s="1">
        <f t="shared" si="10"/>
        <v>0</v>
      </c>
      <c r="F148" s="1">
        <f t="shared" si="11"/>
        <v>501</v>
      </c>
    </row>
    <row r="149" spans="1:6" x14ac:dyDescent="0.25">
      <c r="A149" s="1">
        <v>148</v>
      </c>
      <c r="B149">
        <v>0.59310852650550816</v>
      </c>
      <c r="C149">
        <f t="shared" si="8"/>
        <v>80.88871549653814</v>
      </c>
      <c r="D149" s="1">
        <f t="shared" si="9"/>
        <v>75</v>
      </c>
      <c r="E149" s="1">
        <f t="shared" si="10"/>
        <v>0</v>
      </c>
      <c r="F149" s="1">
        <f t="shared" si="11"/>
        <v>501</v>
      </c>
    </row>
    <row r="150" spans="1:6" x14ac:dyDescent="0.25">
      <c r="A150" s="1">
        <v>149</v>
      </c>
      <c r="B150">
        <v>0.11828948682407714</v>
      </c>
      <c r="C150">
        <f t="shared" si="8"/>
        <v>45.410475532834539</v>
      </c>
      <c r="D150" s="1">
        <f t="shared" si="9"/>
        <v>45</v>
      </c>
      <c r="E150" s="1">
        <f t="shared" si="10"/>
        <v>30</v>
      </c>
      <c r="F150" s="1">
        <f t="shared" si="11"/>
        <v>289.8</v>
      </c>
    </row>
    <row r="151" spans="1:6" x14ac:dyDescent="0.25">
      <c r="A151" s="1">
        <v>150</v>
      </c>
      <c r="B151">
        <v>0.52819432374768971</v>
      </c>
      <c r="C151">
        <f t="shared" si="8"/>
        <v>76.76829056997633</v>
      </c>
      <c r="D151" s="1">
        <f t="shared" si="9"/>
        <v>75</v>
      </c>
      <c r="E151" s="1">
        <f t="shared" si="10"/>
        <v>0</v>
      </c>
      <c r="F151" s="1">
        <f t="shared" si="11"/>
        <v>501</v>
      </c>
    </row>
    <row r="152" spans="1:6" x14ac:dyDescent="0.25">
      <c r="A152" s="1">
        <v>151</v>
      </c>
      <c r="B152">
        <v>0.45761576393158143</v>
      </c>
      <c r="C152">
        <f t="shared" si="8"/>
        <v>72.338945484760686</v>
      </c>
      <c r="D152" s="1">
        <f t="shared" si="9"/>
        <v>72</v>
      </c>
      <c r="E152" s="1">
        <f t="shared" si="10"/>
        <v>3</v>
      </c>
      <c r="F152" s="1">
        <f t="shared" si="11"/>
        <v>479.88</v>
      </c>
    </row>
    <row r="153" spans="1:6" x14ac:dyDescent="0.25">
      <c r="A153" s="1">
        <v>152</v>
      </c>
      <c r="B153">
        <v>0.24502382615585139</v>
      </c>
      <c r="C153">
        <f t="shared" si="8"/>
        <v>57.744174138630626</v>
      </c>
      <c r="D153" s="1">
        <f t="shared" si="9"/>
        <v>58</v>
      </c>
      <c r="E153" s="1">
        <f t="shared" si="10"/>
        <v>17</v>
      </c>
      <c r="F153" s="1">
        <f t="shared" si="11"/>
        <v>381.32</v>
      </c>
    </row>
    <row r="154" spans="1:6" x14ac:dyDescent="0.25">
      <c r="A154" s="1">
        <v>153</v>
      </c>
      <c r="B154">
        <v>0.63441054284841381</v>
      </c>
      <c r="C154">
        <f t="shared" si="8"/>
        <v>83.588943381093827</v>
      </c>
      <c r="D154" s="1">
        <f t="shared" si="9"/>
        <v>75</v>
      </c>
      <c r="E154" s="1">
        <f t="shared" si="10"/>
        <v>0</v>
      </c>
      <c r="F154" s="1">
        <f t="shared" si="11"/>
        <v>501</v>
      </c>
    </row>
    <row r="155" spans="1:6" x14ac:dyDescent="0.25">
      <c r="A155" s="1">
        <v>154</v>
      </c>
      <c r="B155">
        <v>0.50319267271474855</v>
      </c>
      <c r="C155">
        <f t="shared" si="8"/>
        <v>75.200073228117759</v>
      </c>
      <c r="D155" s="1">
        <f t="shared" si="9"/>
        <v>75</v>
      </c>
      <c r="E155" s="1">
        <f t="shared" si="10"/>
        <v>0</v>
      </c>
      <c r="F155" s="1">
        <f t="shared" si="11"/>
        <v>501</v>
      </c>
    </row>
    <row r="156" spans="1:6" x14ac:dyDescent="0.25">
      <c r="A156" s="1">
        <v>155</v>
      </c>
      <c r="B156">
        <v>0.26184554014352657</v>
      </c>
      <c r="C156">
        <f t="shared" si="8"/>
        <v>59.058348378061012</v>
      </c>
      <c r="D156" s="1">
        <f t="shared" si="9"/>
        <v>59</v>
      </c>
      <c r="E156" s="1">
        <f t="shared" si="10"/>
        <v>16</v>
      </c>
      <c r="F156" s="1">
        <f t="shared" si="11"/>
        <v>388.36</v>
      </c>
    </row>
    <row r="157" spans="1:6" x14ac:dyDescent="0.25">
      <c r="A157" s="1">
        <v>156</v>
      </c>
      <c r="B157">
        <v>0.31253684324720021</v>
      </c>
      <c r="C157">
        <f t="shared" si="8"/>
        <v>62.783191401609415</v>
      </c>
      <c r="D157" s="1">
        <f t="shared" si="9"/>
        <v>63</v>
      </c>
      <c r="E157" s="1">
        <f t="shared" si="10"/>
        <v>12</v>
      </c>
      <c r="F157" s="1">
        <f t="shared" si="11"/>
        <v>416.52</v>
      </c>
    </row>
    <row r="158" spans="1:6" x14ac:dyDescent="0.25">
      <c r="A158" s="1">
        <v>157</v>
      </c>
      <c r="B158">
        <v>0.91719212853534549</v>
      </c>
      <c r="C158">
        <f t="shared" si="8"/>
        <v>109.66074166280889</v>
      </c>
      <c r="D158" s="1">
        <f t="shared" si="9"/>
        <v>75</v>
      </c>
      <c r="E158" s="1">
        <f t="shared" si="10"/>
        <v>0</v>
      </c>
      <c r="F158" s="1">
        <f t="shared" si="11"/>
        <v>501</v>
      </c>
    </row>
    <row r="159" spans="1:6" x14ac:dyDescent="0.25">
      <c r="A159" s="1">
        <v>158</v>
      </c>
      <c r="B159">
        <v>0.8974328008806477</v>
      </c>
      <c r="C159">
        <f t="shared" si="8"/>
        <v>106.67646073990934</v>
      </c>
      <c r="D159" s="1">
        <f t="shared" si="9"/>
        <v>75</v>
      </c>
      <c r="E159" s="1">
        <f t="shared" si="10"/>
        <v>0</v>
      </c>
      <c r="F159" s="1">
        <f t="shared" si="11"/>
        <v>501</v>
      </c>
    </row>
    <row r="160" spans="1:6" x14ac:dyDescent="0.25">
      <c r="A160" s="1">
        <v>159</v>
      </c>
      <c r="B160">
        <v>0.80884915779946898</v>
      </c>
      <c r="C160">
        <f t="shared" si="8"/>
        <v>96.84158059187439</v>
      </c>
      <c r="D160" s="1">
        <f t="shared" si="9"/>
        <v>75</v>
      </c>
      <c r="E160" s="1">
        <f t="shared" si="10"/>
        <v>0</v>
      </c>
      <c r="F160" s="1">
        <f t="shared" si="11"/>
        <v>501</v>
      </c>
    </row>
    <row r="161" spans="1:6" x14ac:dyDescent="0.25">
      <c r="A161" s="1">
        <v>160</v>
      </c>
      <c r="B161">
        <v>0.33964364423608029</v>
      </c>
      <c r="C161">
        <f t="shared" si="8"/>
        <v>64.664102900388968</v>
      </c>
      <c r="D161" s="1">
        <f t="shared" si="9"/>
        <v>65</v>
      </c>
      <c r="E161" s="1">
        <f t="shared" si="10"/>
        <v>10</v>
      </c>
      <c r="F161" s="1">
        <f t="shared" si="11"/>
        <v>430.6</v>
      </c>
    </row>
    <row r="162" spans="1:6" x14ac:dyDescent="0.25">
      <c r="A162" s="1">
        <v>161</v>
      </c>
      <c r="B162">
        <v>0.36635053369827775</v>
      </c>
      <c r="C162">
        <f t="shared" si="8"/>
        <v>66.461631858952373</v>
      </c>
      <c r="D162" s="1">
        <f t="shared" si="9"/>
        <v>66</v>
      </c>
      <c r="E162" s="1">
        <f t="shared" si="10"/>
        <v>9</v>
      </c>
      <c r="F162" s="1">
        <f t="shared" si="11"/>
        <v>437.64</v>
      </c>
    </row>
    <row r="163" spans="1:6" x14ac:dyDescent="0.25">
      <c r="A163" s="1">
        <v>162</v>
      </c>
      <c r="B163">
        <v>6.868086227807102E-3</v>
      </c>
      <c r="C163">
        <f t="shared" si="8"/>
        <v>13.397757120756594</v>
      </c>
      <c r="D163" s="1">
        <f t="shared" si="9"/>
        <v>13</v>
      </c>
      <c r="E163" s="1">
        <f t="shared" si="10"/>
        <v>62</v>
      </c>
      <c r="F163" s="1">
        <f t="shared" si="11"/>
        <v>64.52</v>
      </c>
    </row>
    <row r="164" spans="1:6" x14ac:dyDescent="0.25">
      <c r="A164" s="1">
        <v>163</v>
      </c>
      <c r="B164">
        <v>0.14125194759044279</v>
      </c>
      <c r="C164">
        <f t="shared" si="8"/>
        <v>48.132211481047094</v>
      </c>
      <c r="D164" s="1">
        <f t="shared" si="9"/>
        <v>48</v>
      </c>
      <c r="E164" s="1">
        <f t="shared" si="10"/>
        <v>27</v>
      </c>
      <c r="F164" s="1">
        <f t="shared" si="11"/>
        <v>310.92</v>
      </c>
    </row>
    <row r="165" spans="1:6" x14ac:dyDescent="0.25">
      <c r="A165" s="1">
        <v>164</v>
      </c>
      <c r="B165">
        <v>0.86526321605346068</v>
      </c>
      <c r="C165">
        <f t="shared" si="8"/>
        <v>102.60689207607945</v>
      </c>
      <c r="D165" s="1">
        <f t="shared" si="9"/>
        <v>75</v>
      </c>
      <c r="E165" s="1">
        <f t="shared" si="10"/>
        <v>0</v>
      </c>
      <c r="F165" s="1">
        <f t="shared" si="11"/>
        <v>501</v>
      </c>
    </row>
    <row r="166" spans="1:6" x14ac:dyDescent="0.25">
      <c r="A166" s="1">
        <v>165</v>
      </c>
      <c r="B166">
        <v>0.92724447060847703</v>
      </c>
      <c r="C166">
        <f t="shared" si="8"/>
        <v>111.38929225164995</v>
      </c>
      <c r="D166" s="1">
        <f t="shared" si="9"/>
        <v>75</v>
      </c>
      <c r="E166" s="1">
        <f t="shared" si="10"/>
        <v>0</v>
      </c>
      <c r="F166" s="1">
        <f t="shared" si="11"/>
        <v>501</v>
      </c>
    </row>
    <row r="167" spans="1:6" x14ac:dyDescent="0.25">
      <c r="A167" s="1">
        <v>166</v>
      </c>
      <c r="B167">
        <v>0.96394472461450842</v>
      </c>
      <c r="C167">
        <f t="shared" si="8"/>
        <v>119.96048815151516</v>
      </c>
      <c r="D167" s="1">
        <f t="shared" si="9"/>
        <v>75</v>
      </c>
      <c r="E167" s="1">
        <f t="shared" si="10"/>
        <v>0</v>
      </c>
      <c r="F167" s="1">
        <f t="shared" si="11"/>
        <v>501</v>
      </c>
    </row>
    <row r="168" spans="1:6" x14ac:dyDescent="0.25">
      <c r="A168" s="1">
        <v>167</v>
      </c>
      <c r="B168">
        <v>0.91024728113139763</v>
      </c>
      <c r="C168">
        <f t="shared" si="8"/>
        <v>108.55698364509293</v>
      </c>
      <c r="D168" s="1">
        <f t="shared" si="9"/>
        <v>75</v>
      </c>
      <c r="E168" s="1">
        <f t="shared" si="10"/>
        <v>0</v>
      </c>
      <c r="F168" s="1">
        <f t="shared" si="11"/>
        <v>501</v>
      </c>
    </row>
    <row r="169" spans="1:6" x14ac:dyDescent="0.25">
      <c r="A169" s="1">
        <v>168</v>
      </c>
      <c r="B169">
        <v>0.18932738849843989</v>
      </c>
      <c r="C169">
        <f t="shared" si="8"/>
        <v>52.990559535037988</v>
      </c>
      <c r="D169" s="1">
        <f t="shared" si="9"/>
        <v>53</v>
      </c>
      <c r="E169" s="1">
        <f t="shared" si="10"/>
        <v>22</v>
      </c>
      <c r="F169" s="1">
        <f t="shared" si="11"/>
        <v>346.12</v>
      </c>
    </row>
    <row r="170" spans="1:6" x14ac:dyDescent="0.25">
      <c r="A170" s="1">
        <v>169</v>
      </c>
      <c r="B170">
        <v>0.25498589136379535</v>
      </c>
      <c r="C170">
        <f t="shared" si="8"/>
        <v>58.527959238056965</v>
      </c>
      <c r="D170" s="1">
        <f t="shared" si="9"/>
        <v>59</v>
      </c>
      <c r="E170" s="1">
        <f t="shared" si="10"/>
        <v>16</v>
      </c>
      <c r="F170" s="1">
        <f t="shared" si="11"/>
        <v>388.36</v>
      </c>
    </row>
    <row r="171" spans="1:6" x14ac:dyDescent="0.25">
      <c r="A171" s="1">
        <v>170</v>
      </c>
      <c r="B171">
        <v>0.8654813390176842</v>
      </c>
      <c r="C171">
        <f t="shared" si="8"/>
        <v>102.63205536875141</v>
      </c>
      <c r="D171" s="1">
        <f t="shared" si="9"/>
        <v>75</v>
      </c>
      <c r="E171" s="1">
        <f t="shared" si="10"/>
        <v>0</v>
      </c>
      <c r="F171" s="1">
        <f t="shared" si="11"/>
        <v>501</v>
      </c>
    </row>
    <row r="172" spans="1:6" x14ac:dyDescent="0.25">
      <c r="A172" s="1">
        <v>171</v>
      </c>
      <c r="B172">
        <v>0.72185123112343852</v>
      </c>
      <c r="C172">
        <f t="shared" si="8"/>
        <v>89.708744539728187</v>
      </c>
      <c r="D172" s="1">
        <f t="shared" si="9"/>
        <v>75</v>
      </c>
      <c r="E172" s="1">
        <f t="shared" si="10"/>
        <v>0</v>
      </c>
      <c r="F172" s="1">
        <f t="shared" si="11"/>
        <v>501</v>
      </c>
    </row>
    <row r="173" spans="1:6" x14ac:dyDescent="0.25">
      <c r="A173" s="1">
        <v>172</v>
      </c>
      <c r="B173">
        <v>0.96298546183418643</v>
      </c>
      <c r="C173">
        <f t="shared" si="8"/>
        <v>119.66084046847462</v>
      </c>
      <c r="D173" s="1">
        <f t="shared" si="9"/>
        <v>75</v>
      </c>
      <c r="E173" s="1">
        <f t="shared" si="10"/>
        <v>0</v>
      </c>
      <c r="F173" s="1">
        <f t="shared" si="11"/>
        <v>501</v>
      </c>
    </row>
    <row r="174" spans="1:6" x14ac:dyDescent="0.25">
      <c r="A174" s="1">
        <v>173</v>
      </c>
      <c r="B174">
        <v>0.39319099593532969</v>
      </c>
      <c r="C174">
        <f t="shared" si="8"/>
        <v>68.224706143541496</v>
      </c>
      <c r="D174" s="1">
        <f t="shared" si="9"/>
        <v>68</v>
      </c>
      <c r="E174" s="1">
        <f t="shared" si="10"/>
        <v>7</v>
      </c>
      <c r="F174" s="1">
        <f t="shared" si="11"/>
        <v>451.72</v>
      </c>
    </row>
    <row r="175" spans="1:6" x14ac:dyDescent="0.25">
      <c r="A175" s="1">
        <v>174</v>
      </c>
      <c r="B175">
        <v>0.5343810333339577</v>
      </c>
      <c r="C175">
        <f t="shared" si="8"/>
        <v>77.157185664494818</v>
      </c>
      <c r="D175" s="1">
        <f t="shared" si="9"/>
        <v>75</v>
      </c>
      <c r="E175" s="1">
        <f t="shared" si="10"/>
        <v>0</v>
      </c>
      <c r="F175" s="1">
        <f t="shared" si="11"/>
        <v>501</v>
      </c>
    </row>
    <row r="176" spans="1:6" x14ac:dyDescent="0.25">
      <c r="A176" s="1">
        <v>175</v>
      </c>
      <c r="B176">
        <v>0.9797744341824195</v>
      </c>
      <c r="C176">
        <f t="shared" si="8"/>
        <v>126.22780836491665</v>
      </c>
      <c r="D176" s="1">
        <f t="shared" si="9"/>
        <v>75</v>
      </c>
      <c r="E176" s="1">
        <f t="shared" si="10"/>
        <v>0</v>
      </c>
      <c r="F176" s="1">
        <f t="shared" si="11"/>
        <v>501</v>
      </c>
    </row>
    <row r="177" spans="1:6" x14ac:dyDescent="0.25">
      <c r="A177" s="1">
        <v>176</v>
      </c>
      <c r="B177">
        <v>0.62094285424444928</v>
      </c>
      <c r="C177">
        <f t="shared" si="8"/>
        <v>82.698949993182794</v>
      </c>
      <c r="D177" s="1">
        <f t="shared" si="9"/>
        <v>75</v>
      </c>
      <c r="E177" s="1">
        <f t="shared" si="10"/>
        <v>0</v>
      </c>
      <c r="F177" s="1">
        <f t="shared" si="11"/>
        <v>501</v>
      </c>
    </row>
    <row r="178" spans="1:6" x14ac:dyDescent="0.25">
      <c r="A178" s="1">
        <v>177</v>
      </c>
      <c r="B178">
        <v>0.25008831021561351</v>
      </c>
      <c r="C178">
        <f t="shared" si="8"/>
        <v>58.144703102489274</v>
      </c>
      <c r="D178" s="1">
        <f t="shared" si="9"/>
        <v>58</v>
      </c>
      <c r="E178" s="1">
        <f t="shared" si="10"/>
        <v>17</v>
      </c>
      <c r="F178" s="1">
        <f t="shared" si="11"/>
        <v>381.32</v>
      </c>
    </row>
    <row r="179" spans="1:6" x14ac:dyDescent="0.25">
      <c r="A179" s="1">
        <v>178</v>
      </c>
      <c r="B179">
        <v>0.89628485000094915</v>
      </c>
      <c r="C179">
        <f t="shared" si="8"/>
        <v>106.51657430443403</v>
      </c>
      <c r="D179" s="1">
        <f t="shared" si="9"/>
        <v>75</v>
      </c>
      <c r="E179" s="1">
        <f t="shared" si="10"/>
        <v>0</v>
      </c>
      <c r="F179" s="1">
        <f t="shared" si="11"/>
        <v>501</v>
      </c>
    </row>
    <row r="180" spans="1:6" x14ac:dyDescent="0.25">
      <c r="A180" s="1">
        <v>179</v>
      </c>
      <c r="B180">
        <v>0.55539652969375874</v>
      </c>
      <c r="C180">
        <f t="shared" si="8"/>
        <v>78.482694552723785</v>
      </c>
      <c r="D180" s="1">
        <f t="shared" si="9"/>
        <v>75</v>
      </c>
      <c r="E180" s="1">
        <f t="shared" si="10"/>
        <v>0</v>
      </c>
      <c r="F180" s="1">
        <f t="shared" si="11"/>
        <v>501</v>
      </c>
    </row>
    <row r="181" spans="1:6" x14ac:dyDescent="0.25">
      <c r="A181" s="1">
        <v>180</v>
      </c>
      <c r="B181">
        <v>0.17935347696153736</v>
      </c>
      <c r="C181">
        <f t="shared" si="8"/>
        <v>52.054206091003493</v>
      </c>
      <c r="D181" s="1">
        <f t="shared" si="9"/>
        <v>52</v>
      </c>
      <c r="E181" s="1">
        <f t="shared" si="10"/>
        <v>23</v>
      </c>
      <c r="F181" s="1">
        <f t="shared" si="11"/>
        <v>339.08</v>
      </c>
    </row>
    <row r="182" spans="1:6" x14ac:dyDescent="0.25">
      <c r="A182" s="1">
        <v>181</v>
      </c>
      <c r="B182">
        <v>0.64436244017924149</v>
      </c>
      <c r="C182">
        <f t="shared" si="8"/>
        <v>84.253602674293916</v>
      </c>
      <c r="D182" s="1">
        <f t="shared" si="9"/>
        <v>75</v>
      </c>
      <c r="E182" s="1">
        <f t="shared" si="10"/>
        <v>0</v>
      </c>
      <c r="F182" s="1">
        <f t="shared" si="11"/>
        <v>501</v>
      </c>
    </row>
    <row r="183" spans="1:6" x14ac:dyDescent="0.25">
      <c r="A183" s="1">
        <v>182</v>
      </c>
      <c r="B183">
        <v>0.69600149873650019</v>
      </c>
      <c r="C183">
        <f t="shared" si="8"/>
        <v>87.823367389329434</v>
      </c>
      <c r="D183" s="1">
        <f t="shared" si="9"/>
        <v>75</v>
      </c>
      <c r="E183" s="1">
        <f t="shared" si="10"/>
        <v>0</v>
      </c>
      <c r="F183" s="1">
        <f t="shared" si="11"/>
        <v>501</v>
      </c>
    </row>
    <row r="184" spans="1:6" x14ac:dyDescent="0.25">
      <c r="A184" s="1">
        <v>183</v>
      </c>
      <c r="B184">
        <v>0.75681538486053657</v>
      </c>
      <c r="C184">
        <f t="shared" si="8"/>
        <v>92.402379284202453</v>
      </c>
      <c r="D184" s="1">
        <f t="shared" si="9"/>
        <v>75</v>
      </c>
      <c r="E184" s="1">
        <f t="shared" si="10"/>
        <v>0</v>
      </c>
      <c r="F184" s="1">
        <f t="shared" si="11"/>
        <v>501</v>
      </c>
    </row>
    <row r="185" spans="1:6" x14ac:dyDescent="0.25">
      <c r="A185" s="1">
        <v>184</v>
      </c>
      <c r="B185">
        <v>0.15273532992058625</v>
      </c>
      <c r="C185">
        <f t="shared" si="8"/>
        <v>49.380693582497145</v>
      </c>
      <c r="D185" s="1">
        <f t="shared" si="9"/>
        <v>49</v>
      </c>
      <c r="E185" s="1">
        <f t="shared" si="10"/>
        <v>26</v>
      </c>
      <c r="F185" s="1">
        <f t="shared" si="11"/>
        <v>317.95999999999998</v>
      </c>
    </row>
    <row r="186" spans="1:6" x14ac:dyDescent="0.25">
      <c r="A186" s="1">
        <v>185</v>
      </c>
      <c r="B186">
        <v>0.75323738273848273</v>
      </c>
      <c r="C186">
        <f t="shared" si="8"/>
        <v>92.117817454370623</v>
      </c>
      <c r="D186" s="1">
        <f t="shared" si="9"/>
        <v>75</v>
      </c>
      <c r="E186" s="1">
        <f t="shared" si="10"/>
        <v>0</v>
      </c>
      <c r="F186" s="1">
        <f t="shared" si="11"/>
        <v>501</v>
      </c>
    </row>
    <row r="187" spans="1:6" x14ac:dyDescent="0.25">
      <c r="A187" s="1">
        <v>186</v>
      </c>
      <c r="B187">
        <v>0.30606083706105891</v>
      </c>
      <c r="C187">
        <f t="shared" si="8"/>
        <v>62.323819044799677</v>
      </c>
      <c r="D187" s="1">
        <f t="shared" si="9"/>
        <v>62</v>
      </c>
      <c r="E187" s="1">
        <f t="shared" si="10"/>
        <v>13</v>
      </c>
      <c r="F187" s="1">
        <f t="shared" si="11"/>
        <v>409.48</v>
      </c>
    </row>
    <row r="188" spans="1:6" x14ac:dyDescent="0.25">
      <c r="A188" s="1">
        <v>187</v>
      </c>
      <c r="B188">
        <v>0.56539704108619615</v>
      </c>
      <c r="C188">
        <f t="shared" si="8"/>
        <v>79.116680548814713</v>
      </c>
      <c r="D188" s="1">
        <f t="shared" si="9"/>
        <v>75</v>
      </c>
      <c r="E188" s="1">
        <f t="shared" si="10"/>
        <v>0</v>
      </c>
      <c r="F188" s="1">
        <f t="shared" si="11"/>
        <v>501</v>
      </c>
    </row>
    <row r="189" spans="1:6" x14ac:dyDescent="0.25">
      <c r="A189" s="1">
        <v>188</v>
      </c>
      <c r="B189">
        <v>0.60759155776903806</v>
      </c>
      <c r="C189">
        <f t="shared" si="8"/>
        <v>81.826181585646324</v>
      </c>
      <c r="D189" s="1">
        <f t="shared" si="9"/>
        <v>75</v>
      </c>
      <c r="E189" s="1">
        <f t="shared" si="10"/>
        <v>0</v>
      </c>
      <c r="F189" s="1">
        <f t="shared" si="11"/>
        <v>501</v>
      </c>
    </row>
    <row r="190" spans="1:6" x14ac:dyDescent="0.25">
      <c r="A190" s="1">
        <v>189</v>
      </c>
      <c r="B190">
        <v>0.10378508417963517</v>
      </c>
      <c r="C190">
        <f t="shared" si="8"/>
        <v>43.493124519578146</v>
      </c>
      <c r="D190" s="1">
        <f t="shared" si="9"/>
        <v>43</v>
      </c>
      <c r="E190" s="1">
        <f t="shared" si="10"/>
        <v>32</v>
      </c>
      <c r="F190" s="1">
        <f t="shared" si="11"/>
        <v>275.72000000000003</v>
      </c>
    </row>
    <row r="191" spans="1:6" x14ac:dyDescent="0.25">
      <c r="A191" s="1">
        <v>190</v>
      </c>
      <c r="B191">
        <v>0.59607188296030178</v>
      </c>
      <c r="C191">
        <f t="shared" si="8"/>
        <v>81.079813873016604</v>
      </c>
      <c r="D191" s="1">
        <f t="shared" si="9"/>
        <v>75</v>
      </c>
      <c r="E191" s="1">
        <f t="shared" si="10"/>
        <v>0</v>
      </c>
      <c r="F191" s="1">
        <f t="shared" si="11"/>
        <v>501</v>
      </c>
    </row>
    <row r="192" spans="1:6" x14ac:dyDescent="0.25">
      <c r="A192" s="1">
        <v>191</v>
      </c>
      <c r="B192">
        <v>0.60856940796481729</v>
      </c>
      <c r="C192">
        <f t="shared" si="8"/>
        <v>81.889808813615488</v>
      </c>
      <c r="D192" s="1">
        <f t="shared" si="9"/>
        <v>75</v>
      </c>
      <c r="E192" s="1">
        <f t="shared" si="10"/>
        <v>0</v>
      </c>
      <c r="F192" s="1">
        <f t="shared" si="11"/>
        <v>501</v>
      </c>
    </row>
    <row r="193" spans="1:6" x14ac:dyDescent="0.25">
      <c r="A193" s="1">
        <v>192</v>
      </c>
      <c r="B193">
        <v>0.58454818971414158</v>
      </c>
      <c r="C193">
        <f t="shared" si="8"/>
        <v>80.338569639104946</v>
      </c>
      <c r="D193" s="1">
        <f t="shared" si="9"/>
        <v>75</v>
      </c>
      <c r="E193" s="1">
        <f t="shared" si="10"/>
        <v>0</v>
      </c>
      <c r="F193" s="1">
        <f t="shared" si="11"/>
        <v>501</v>
      </c>
    </row>
    <row r="194" spans="1:6" x14ac:dyDescent="0.25">
      <c r="A194" s="1">
        <v>193</v>
      </c>
      <c r="B194">
        <v>8.1873958312291384E-2</v>
      </c>
      <c r="C194">
        <f t="shared" si="8"/>
        <v>40.185589417023522</v>
      </c>
      <c r="D194" s="1">
        <f t="shared" si="9"/>
        <v>40</v>
      </c>
      <c r="E194" s="1">
        <f t="shared" si="10"/>
        <v>35</v>
      </c>
      <c r="F194" s="1">
        <f t="shared" si="11"/>
        <v>254.6</v>
      </c>
    </row>
    <row r="195" spans="1:6" x14ac:dyDescent="0.25">
      <c r="A195" s="1">
        <v>194</v>
      </c>
      <c r="B195">
        <v>0.79135414814648397</v>
      </c>
      <c r="C195">
        <f t="shared" ref="C195:C258" si="12">_xlfn.NORM.INV(B195,75,25)</f>
        <v>95.27822020258975</v>
      </c>
      <c r="D195" s="1">
        <f t="shared" ref="D195:D258" si="13">MIN(ROUND(C195,0),$H$2)</f>
        <v>75</v>
      </c>
      <c r="E195" s="1">
        <f t="shared" ref="E195:E258" si="14">$H$2-D195</f>
        <v>0</v>
      </c>
      <c r="F195" s="1">
        <f t="shared" ref="F195:F258" si="15">7*D195-$H$2/25*8-E195/25*1</f>
        <v>501</v>
      </c>
    </row>
    <row r="196" spans="1:6" x14ac:dyDescent="0.25">
      <c r="A196" s="1">
        <v>195</v>
      </c>
      <c r="B196">
        <v>0.41929083281087642</v>
      </c>
      <c r="C196">
        <f t="shared" si="12"/>
        <v>69.907299214097975</v>
      </c>
      <c r="D196" s="1">
        <f t="shared" si="13"/>
        <v>70</v>
      </c>
      <c r="E196" s="1">
        <f t="shared" si="14"/>
        <v>5</v>
      </c>
      <c r="F196" s="1">
        <f t="shared" si="15"/>
        <v>465.8</v>
      </c>
    </row>
    <row r="197" spans="1:6" x14ac:dyDescent="0.25">
      <c r="A197" s="1">
        <v>196</v>
      </c>
      <c r="B197">
        <v>0.30385807736839976</v>
      </c>
      <c r="C197">
        <f t="shared" si="12"/>
        <v>62.166594602028752</v>
      </c>
      <c r="D197" s="1">
        <f t="shared" si="13"/>
        <v>62</v>
      </c>
      <c r="E197" s="1">
        <f t="shared" si="14"/>
        <v>13</v>
      </c>
      <c r="F197" s="1">
        <f t="shared" si="15"/>
        <v>409.48</v>
      </c>
    </row>
    <row r="198" spans="1:6" x14ac:dyDescent="0.25">
      <c r="A198" s="1">
        <v>197</v>
      </c>
      <c r="B198">
        <v>0.54299479131106543</v>
      </c>
      <c r="C198">
        <f t="shared" si="12"/>
        <v>77.699535920317771</v>
      </c>
      <c r="D198" s="1">
        <f t="shared" si="13"/>
        <v>75</v>
      </c>
      <c r="E198" s="1">
        <f t="shared" si="14"/>
        <v>0</v>
      </c>
      <c r="F198" s="1">
        <f t="shared" si="15"/>
        <v>501</v>
      </c>
    </row>
    <row r="199" spans="1:6" x14ac:dyDescent="0.25">
      <c r="A199" s="1">
        <v>198</v>
      </c>
      <c r="B199">
        <v>0.17340609248138994</v>
      </c>
      <c r="C199">
        <f t="shared" si="12"/>
        <v>51.480235292786013</v>
      </c>
      <c r="D199" s="1">
        <f t="shared" si="13"/>
        <v>51</v>
      </c>
      <c r="E199" s="1">
        <f t="shared" si="14"/>
        <v>24</v>
      </c>
      <c r="F199" s="1">
        <f t="shared" si="15"/>
        <v>332.04</v>
      </c>
    </row>
    <row r="200" spans="1:6" x14ac:dyDescent="0.25">
      <c r="A200" s="1">
        <v>199</v>
      </c>
      <c r="B200">
        <v>0.60008973663869303</v>
      </c>
      <c r="C200">
        <f t="shared" si="12"/>
        <v>81.33948455485509</v>
      </c>
      <c r="D200" s="1">
        <f t="shared" si="13"/>
        <v>75</v>
      </c>
      <c r="E200" s="1">
        <f t="shared" si="14"/>
        <v>0</v>
      </c>
      <c r="F200" s="1">
        <f t="shared" si="15"/>
        <v>501</v>
      </c>
    </row>
    <row r="201" spans="1:6" x14ac:dyDescent="0.25">
      <c r="A201" s="1">
        <v>200</v>
      </c>
      <c r="B201">
        <v>0.71434627559492592</v>
      </c>
      <c r="C201">
        <f t="shared" si="12"/>
        <v>89.153175048076577</v>
      </c>
      <c r="D201" s="1">
        <f t="shared" si="13"/>
        <v>75</v>
      </c>
      <c r="E201" s="1">
        <f t="shared" si="14"/>
        <v>0</v>
      </c>
      <c r="F201" s="1">
        <f t="shared" si="15"/>
        <v>501</v>
      </c>
    </row>
    <row r="202" spans="1:6" x14ac:dyDescent="0.25">
      <c r="A202" s="1">
        <v>201</v>
      </c>
      <c r="B202">
        <v>0.62213227071488775</v>
      </c>
      <c r="C202">
        <f t="shared" si="12"/>
        <v>82.777142939505396</v>
      </c>
      <c r="D202" s="1">
        <f t="shared" si="13"/>
        <v>75</v>
      </c>
      <c r="E202" s="1">
        <f t="shared" si="14"/>
        <v>0</v>
      </c>
      <c r="F202" s="1">
        <f t="shared" si="15"/>
        <v>501</v>
      </c>
    </row>
    <row r="203" spans="1:6" x14ac:dyDescent="0.25">
      <c r="A203" s="1">
        <v>202</v>
      </c>
      <c r="B203">
        <v>0.34692159989603621</v>
      </c>
      <c r="C203">
        <f t="shared" si="12"/>
        <v>65.158876586684514</v>
      </c>
      <c r="D203" s="1">
        <f t="shared" si="13"/>
        <v>65</v>
      </c>
      <c r="E203" s="1">
        <f t="shared" si="14"/>
        <v>10</v>
      </c>
      <c r="F203" s="1">
        <f t="shared" si="15"/>
        <v>430.6</v>
      </c>
    </row>
    <row r="204" spans="1:6" x14ac:dyDescent="0.25">
      <c r="A204" s="1">
        <v>203</v>
      </c>
      <c r="B204">
        <v>6.7988838658808337E-2</v>
      </c>
      <c r="C204">
        <f t="shared" si="12"/>
        <v>37.726540845459539</v>
      </c>
      <c r="D204" s="1">
        <f t="shared" si="13"/>
        <v>38</v>
      </c>
      <c r="E204" s="1">
        <f t="shared" si="14"/>
        <v>37</v>
      </c>
      <c r="F204" s="1">
        <f t="shared" si="15"/>
        <v>240.52</v>
      </c>
    </row>
    <row r="205" spans="1:6" x14ac:dyDescent="0.25">
      <c r="A205" s="1">
        <v>204</v>
      </c>
      <c r="B205">
        <v>0.21097229162444786</v>
      </c>
      <c r="C205">
        <f t="shared" si="12"/>
        <v>54.923695831210125</v>
      </c>
      <c r="D205" s="1">
        <f t="shared" si="13"/>
        <v>55</v>
      </c>
      <c r="E205" s="1">
        <f t="shared" si="14"/>
        <v>20</v>
      </c>
      <c r="F205" s="1">
        <f t="shared" si="15"/>
        <v>360.2</v>
      </c>
    </row>
    <row r="206" spans="1:6" x14ac:dyDescent="0.25">
      <c r="A206" s="1">
        <v>205</v>
      </c>
      <c r="B206">
        <v>0.41188577332585075</v>
      </c>
      <c r="C206">
        <f t="shared" si="12"/>
        <v>69.432581753534549</v>
      </c>
      <c r="D206" s="1">
        <f t="shared" si="13"/>
        <v>69</v>
      </c>
      <c r="E206" s="1">
        <f t="shared" si="14"/>
        <v>6</v>
      </c>
      <c r="F206" s="1">
        <f t="shared" si="15"/>
        <v>458.76</v>
      </c>
    </row>
    <row r="207" spans="1:6" x14ac:dyDescent="0.25">
      <c r="A207" s="1">
        <v>206</v>
      </c>
      <c r="B207">
        <v>0.32772995814937012</v>
      </c>
      <c r="C207">
        <f t="shared" si="12"/>
        <v>63.845246903131724</v>
      </c>
      <c r="D207" s="1">
        <f t="shared" si="13"/>
        <v>64</v>
      </c>
      <c r="E207" s="1">
        <f t="shared" si="14"/>
        <v>11</v>
      </c>
      <c r="F207" s="1">
        <f t="shared" si="15"/>
        <v>423.56</v>
      </c>
    </row>
    <row r="208" spans="1:6" x14ac:dyDescent="0.25">
      <c r="A208" s="1">
        <v>207</v>
      </c>
      <c r="B208">
        <v>6.4670055156849537E-2</v>
      </c>
      <c r="C208">
        <f t="shared" si="12"/>
        <v>37.08226899320934</v>
      </c>
      <c r="D208" s="1">
        <f t="shared" si="13"/>
        <v>37</v>
      </c>
      <c r="E208" s="1">
        <f t="shared" si="14"/>
        <v>38</v>
      </c>
      <c r="F208" s="1">
        <f t="shared" si="15"/>
        <v>233.48</v>
      </c>
    </row>
    <row r="209" spans="1:6" x14ac:dyDescent="0.25">
      <c r="A209" s="1">
        <v>208</v>
      </c>
      <c r="B209">
        <v>6.9532705711817577E-2</v>
      </c>
      <c r="C209">
        <f t="shared" si="12"/>
        <v>38.017992094822297</v>
      </c>
      <c r="D209" s="1">
        <f t="shared" si="13"/>
        <v>38</v>
      </c>
      <c r="E209" s="1">
        <f t="shared" si="14"/>
        <v>37</v>
      </c>
      <c r="F209" s="1">
        <f t="shared" si="15"/>
        <v>240.52</v>
      </c>
    </row>
    <row r="210" spans="1:6" x14ac:dyDescent="0.25">
      <c r="A210" s="1">
        <v>209</v>
      </c>
      <c r="B210">
        <v>0.64300492111464269</v>
      </c>
      <c r="C210">
        <f t="shared" si="12"/>
        <v>84.162562154697611</v>
      </c>
      <c r="D210" s="1">
        <f t="shared" si="13"/>
        <v>75</v>
      </c>
      <c r="E210" s="1">
        <f t="shared" si="14"/>
        <v>0</v>
      </c>
      <c r="F210" s="1">
        <f t="shared" si="15"/>
        <v>501</v>
      </c>
    </row>
    <row r="211" spans="1:6" x14ac:dyDescent="0.25">
      <c r="A211" s="1">
        <v>210</v>
      </c>
      <c r="B211">
        <v>0.91259937111219946</v>
      </c>
      <c r="C211">
        <f t="shared" si="12"/>
        <v>108.92342274489923</v>
      </c>
      <c r="D211" s="1">
        <f t="shared" si="13"/>
        <v>75</v>
      </c>
      <c r="E211" s="1">
        <f t="shared" si="14"/>
        <v>0</v>
      </c>
      <c r="F211" s="1">
        <f t="shared" si="15"/>
        <v>501</v>
      </c>
    </row>
    <row r="212" spans="1:6" x14ac:dyDescent="0.25">
      <c r="A212" s="1">
        <v>211</v>
      </c>
      <c r="B212">
        <v>0.597221207592602</v>
      </c>
      <c r="C212">
        <f t="shared" si="12"/>
        <v>81.154025628152652</v>
      </c>
      <c r="D212" s="1">
        <f t="shared" si="13"/>
        <v>75</v>
      </c>
      <c r="E212" s="1">
        <f t="shared" si="14"/>
        <v>0</v>
      </c>
      <c r="F212" s="1">
        <f t="shared" si="15"/>
        <v>501</v>
      </c>
    </row>
    <row r="213" spans="1:6" x14ac:dyDescent="0.25">
      <c r="A213" s="1">
        <v>212</v>
      </c>
      <c r="B213">
        <v>0.12795292426207272</v>
      </c>
      <c r="C213">
        <f t="shared" si="12"/>
        <v>46.596970293306597</v>
      </c>
      <c r="D213" s="1">
        <f t="shared" si="13"/>
        <v>47</v>
      </c>
      <c r="E213" s="1">
        <f t="shared" si="14"/>
        <v>28</v>
      </c>
      <c r="F213" s="1">
        <f t="shared" si="15"/>
        <v>303.88</v>
      </c>
    </row>
    <row r="214" spans="1:6" x14ac:dyDescent="0.25">
      <c r="A214" s="1">
        <v>213</v>
      </c>
      <c r="B214">
        <v>0.67462681083282527</v>
      </c>
      <c r="C214">
        <f t="shared" si="12"/>
        <v>86.318138779620739</v>
      </c>
      <c r="D214" s="1">
        <f t="shared" si="13"/>
        <v>75</v>
      </c>
      <c r="E214" s="1">
        <f t="shared" si="14"/>
        <v>0</v>
      </c>
      <c r="F214" s="1">
        <f t="shared" si="15"/>
        <v>501</v>
      </c>
    </row>
    <row r="215" spans="1:6" x14ac:dyDescent="0.25">
      <c r="A215" s="1">
        <v>214</v>
      </c>
      <c r="B215">
        <v>0.94172558080821356</v>
      </c>
      <c r="C215">
        <f t="shared" si="12"/>
        <v>114.23563618638505</v>
      </c>
      <c r="D215" s="1">
        <f t="shared" si="13"/>
        <v>75</v>
      </c>
      <c r="E215" s="1">
        <f t="shared" si="14"/>
        <v>0</v>
      </c>
      <c r="F215" s="1">
        <f t="shared" si="15"/>
        <v>501</v>
      </c>
    </row>
    <row r="216" spans="1:6" x14ac:dyDescent="0.25">
      <c r="A216" s="1">
        <v>215</v>
      </c>
      <c r="B216">
        <v>0.3572386305414702</v>
      </c>
      <c r="C216">
        <f t="shared" si="12"/>
        <v>65.853758486093724</v>
      </c>
      <c r="D216" s="1">
        <f t="shared" si="13"/>
        <v>66</v>
      </c>
      <c r="E216" s="1">
        <f t="shared" si="14"/>
        <v>9</v>
      </c>
      <c r="F216" s="1">
        <f t="shared" si="15"/>
        <v>437.64</v>
      </c>
    </row>
    <row r="217" spans="1:6" x14ac:dyDescent="0.25">
      <c r="A217" s="1">
        <v>216</v>
      </c>
      <c r="B217">
        <v>0.47591847822884226</v>
      </c>
      <c r="C217">
        <f t="shared" si="12"/>
        <v>73.489996791892978</v>
      </c>
      <c r="D217" s="1">
        <f t="shared" si="13"/>
        <v>73</v>
      </c>
      <c r="E217" s="1">
        <f t="shared" si="14"/>
        <v>2</v>
      </c>
      <c r="F217" s="1">
        <f t="shared" si="15"/>
        <v>486.92</v>
      </c>
    </row>
    <row r="218" spans="1:6" x14ac:dyDescent="0.25">
      <c r="A218" s="1">
        <v>217</v>
      </c>
      <c r="B218">
        <v>0.86767952285964411</v>
      </c>
      <c r="C218">
        <f t="shared" si="12"/>
        <v>102.88722356134329</v>
      </c>
      <c r="D218" s="1">
        <f t="shared" si="13"/>
        <v>75</v>
      </c>
      <c r="E218" s="1">
        <f t="shared" si="14"/>
        <v>0</v>
      </c>
      <c r="F218" s="1">
        <f t="shared" si="15"/>
        <v>501</v>
      </c>
    </row>
    <row r="219" spans="1:6" x14ac:dyDescent="0.25">
      <c r="A219" s="1">
        <v>218</v>
      </c>
      <c r="B219">
        <v>0.339656210832466</v>
      </c>
      <c r="C219">
        <f t="shared" si="12"/>
        <v>64.664960651600296</v>
      </c>
      <c r="D219" s="1">
        <f t="shared" si="13"/>
        <v>65</v>
      </c>
      <c r="E219" s="1">
        <f t="shared" si="14"/>
        <v>10</v>
      </c>
      <c r="F219" s="1">
        <f t="shared" si="15"/>
        <v>430.6</v>
      </c>
    </row>
    <row r="220" spans="1:6" x14ac:dyDescent="0.25">
      <c r="A220" s="1">
        <v>219</v>
      </c>
      <c r="B220">
        <v>0.384047994648125</v>
      </c>
      <c r="C220">
        <f t="shared" si="12"/>
        <v>67.628341605319932</v>
      </c>
      <c r="D220" s="1">
        <f t="shared" si="13"/>
        <v>68</v>
      </c>
      <c r="E220" s="1">
        <f t="shared" si="14"/>
        <v>7</v>
      </c>
      <c r="F220" s="1">
        <f t="shared" si="15"/>
        <v>451.72</v>
      </c>
    </row>
    <row r="221" spans="1:6" x14ac:dyDescent="0.25">
      <c r="A221" s="1">
        <v>220</v>
      </c>
      <c r="B221">
        <v>0.5043166675299966</v>
      </c>
      <c r="C221">
        <f t="shared" si="12"/>
        <v>75.270512300713179</v>
      </c>
      <c r="D221" s="1">
        <f t="shared" si="13"/>
        <v>75</v>
      </c>
      <c r="E221" s="1">
        <f t="shared" si="14"/>
        <v>0</v>
      </c>
      <c r="F221" s="1">
        <f t="shared" si="15"/>
        <v>501</v>
      </c>
    </row>
    <row r="222" spans="1:6" x14ac:dyDescent="0.25">
      <c r="A222" s="1">
        <v>221</v>
      </c>
      <c r="B222">
        <v>0.90773337543144128</v>
      </c>
      <c r="C222">
        <f t="shared" si="12"/>
        <v>108.17314346898195</v>
      </c>
      <c r="D222" s="1">
        <f t="shared" si="13"/>
        <v>75</v>
      </c>
      <c r="E222" s="1">
        <f t="shared" si="14"/>
        <v>0</v>
      </c>
      <c r="F222" s="1">
        <f t="shared" si="15"/>
        <v>501</v>
      </c>
    </row>
    <row r="223" spans="1:6" x14ac:dyDescent="0.25">
      <c r="A223" s="1">
        <v>222</v>
      </c>
      <c r="B223">
        <v>0.23109575181848252</v>
      </c>
      <c r="C223">
        <f t="shared" si="12"/>
        <v>56.618924515777081</v>
      </c>
      <c r="D223" s="1">
        <f t="shared" si="13"/>
        <v>57</v>
      </c>
      <c r="E223" s="1">
        <f t="shared" si="14"/>
        <v>18</v>
      </c>
      <c r="F223" s="1">
        <f t="shared" si="15"/>
        <v>374.28</v>
      </c>
    </row>
    <row r="224" spans="1:6" x14ac:dyDescent="0.25">
      <c r="A224" s="1">
        <v>223</v>
      </c>
      <c r="B224">
        <v>5.1074855747943571E-2</v>
      </c>
      <c r="C224">
        <f t="shared" si="12"/>
        <v>34.137000148049644</v>
      </c>
      <c r="D224" s="1">
        <f t="shared" si="13"/>
        <v>34</v>
      </c>
      <c r="E224" s="1">
        <f t="shared" si="14"/>
        <v>41</v>
      </c>
      <c r="F224" s="1">
        <f t="shared" si="15"/>
        <v>212.36</v>
      </c>
    </row>
    <row r="225" spans="1:6" x14ac:dyDescent="0.25">
      <c r="A225" s="1">
        <v>224</v>
      </c>
      <c r="B225">
        <v>0.64898475513459619</v>
      </c>
      <c r="C225">
        <f t="shared" si="12"/>
        <v>84.564524003830002</v>
      </c>
      <c r="D225" s="1">
        <f t="shared" si="13"/>
        <v>75</v>
      </c>
      <c r="E225" s="1">
        <f t="shared" si="14"/>
        <v>0</v>
      </c>
      <c r="F225" s="1">
        <f t="shared" si="15"/>
        <v>501</v>
      </c>
    </row>
    <row r="226" spans="1:6" x14ac:dyDescent="0.25">
      <c r="A226" s="1">
        <v>225</v>
      </c>
      <c r="B226">
        <v>0.63251727641945155</v>
      </c>
      <c r="C226">
        <f t="shared" si="12"/>
        <v>83.463196124977515</v>
      </c>
      <c r="D226" s="1">
        <f t="shared" si="13"/>
        <v>75</v>
      </c>
      <c r="E226" s="1">
        <f t="shared" si="14"/>
        <v>0</v>
      </c>
      <c r="F226" s="1">
        <f t="shared" si="15"/>
        <v>501</v>
      </c>
    </row>
    <row r="227" spans="1:6" x14ac:dyDescent="0.25">
      <c r="A227" s="1">
        <v>226</v>
      </c>
      <c r="B227">
        <v>0.23195292096674291</v>
      </c>
      <c r="C227">
        <f t="shared" si="12"/>
        <v>56.689237234398554</v>
      </c>
      <c r="D227" s="1">
        <f t="shared" si="13"/>
        <v>57</v>
      </c>
      <c r="E227" s="1">
        <f t="shared" si="14"/>
        <v>18</v>
      </c>
      <c r="F227" s="1">
        <f t="shared" si="15"/>
        <v>374.28</v>
      </c>
    </row>
    <row r="228" spans="1:6" x14ac:dyDescent="0.25">
      <c r="A228" s="1">
        <v>227</v>
      </c>
      <c r="B228">
        <v>7.9201180281811112E-2</v>
      </c>
      <c r="C228">
        <f t="shared" si="12"/>
        <v>39.738369616681574</v>
      </c>
      <c r="D228" s="1">
        <f t="shared" si="13"/>
        <v>40</v>
      </c>
      <c r="E228" s="1">
        <f t="shared" si="14"/>
        <v>35</v>
      </c>
      <c r="F228" s="1">
        <f t="shared" si="15"/>
        <v>254.6</v>
      </c>
    </row>
    <row r="229" spans="1:6" x14ac:dyDescent="0.25">
      <c r="A229" s="1">
        <v>228</v>
      </c>
      <c r="B229">
        <v>0.95292885178583042</v>
      </c>
      <c r="C229">
        <f t="shared" si="12"/>
        <v>116.8485121398238</v>
      </c>
      <c r="D229" s="1">
        <f t="shared" si="13"/>
        <v>75</v>
      </c>
      <c r="E229" s="1">
        <f t="shared" si="14"/>
        <v>0</v>
      </c>
      <c r="F229" s="1">
        <f t="shared" si="15"/>
        <v>501</v>
      </c>
    </row>
    <row r="230" spans="1:6" x14ac:dyDescent="0.25">
      <c r="A230" s="1">
        <v>229</v>
      </c>
      <c r="B230">
        <v>0.2908788962042469</v>
      </c>
      <c r="C230">
        <f t="shared" si="12"/>
        <v>61.229526250921111</v>
      </c>
      <c r="D230" s="1">
        <f t="shared" si="13"/>
        <v>61</v>
      </c>
      <c r="E230" s="1">
        <f t="shared" si="14"/>
        <v>14</v>
      </c>
      <c r="F230" s="1">
        <f t="shared" si="15"/>
        <v>402.44</v>
      </c>
    </row>
    <row r="231" spans="1:6" x14ac:dyDescent="0.25">
      <c r="A231" s="1">
        <v>230</v>
      </c>
      <c r="B231">
        <v>0.84242351580579367</v>
      </c>
      <c r="C231">
        <f t="shared" si="12"/>
        <v>100.11170620260968</v>
      </c>
      <c r="D231" s="1">
        <f t="shared" si="13"/>
        <v>75</v>
      </c>
      <c r="E231" s="1">
        <f t="shared" si="14"/>
        <v>0</v>
      </c>
      <c r="F231" s="1">
        <f t="shared" si="15"/>
        <v>501</v>
      </c>
    </row>
    <row r="232" spans="1:6" x14ac:dyDescent="0.25">
      <c r="A232" s="1">
        <v>231</v>
      </c>
      <c r="B232">
        <v>0.89384802782694006</v>
      </c>
      <c r="C232">
        <f t="shared" si="12"/>
        <v>106.18137960404584</v>
      </c>
      <c r="D232" s="1">
        <f t="shared" si="13"/>
        <v>75</v>
      </c>
      <c r="E232" s="1">
        <f t="shared" si="14"/>
        <v>0</v>
      </c>
      <c r="F232" s="1">
        <f t="shared" si="15"/>
        <v>501</v>
      </c>
    </row>
    <row r="233" spans="1:6" x14ac:dyDescent="0.25">
      <c r="A233" s="1">
        <v>232</v>
      </c>
      <c r="B233">
        <v>0.96262072108444319</v>
      </c>
      <c r="C233">
        <f t="shared" si="12"/>
        <v>119.54857033580375</v>
      </c>
      <c r="D233" s="1">
        <f t="shared" si="13"/>
        <v>75</v>
      </c>
      <c r="E233" s="1">
        <f t="shared" si="14"/>
        <v>0</v>
      </c>
      <c r="F233" s="1">
        <f t="shared" si="15"/>
        <v>501</v>
      </c>
    </row>
    <row r="234" spans="1:6" x14ac:dyDescent="0.25">
      <c r="A234" s="1">
        <v>233</v>
      </c>
      <c r="B234">
        <v>0.52975100105025086</v>
      </c>
      <c r="C234">
        <f t="shared" si="12"/>
        <v>76.866098960436787</v>
      </c>
      <c r="D234" s="1">
        <f t="shared" si="13"/>
        <v>75</v>
      </c>
      <c r="E234" s="1">
        <f t="shared" si="14"/>
        <v>0</v>
      </c>
      <c r="F234" s="1">
        <f t="shared" si="15"/>
        <v>501</v>
      </c>
    </row>
    <row r="235" spans="1:6" x14ac:dyDescent="0.25">
      <c r="A235" s="1">
        <v>234</v>
      </c>
      <c r="B235">
        <v>0.83529118203249964</v>
      </c>
      <c r="C235">
        <f t="shared" si="12"/>
        <v>99.382189176092183</v>
      </c>
      <c r="D235" s="1">
        <f t="shared" si="13"/>
        <v>75</v>
      </c>
      <c r="E235" s="1">
        <f t="shared" si="14"/>
        <v>0</v>
      </c>
      <c r="F235" s="1">
        <f t="shared" si="15"/>
        <v>501</v>
      </c>
    </row>
    <row r="236" spans="1:6" x14ac:dyDescent="0.25">
      <c r="A236" s="1">
        <v>235</v>
      </c>
      <c r="B236">
        <v>0.73576061363149303</v>
      </c>
      <c r="C236">
        <f t="shared" si="12"/>
        <v>90.758247178522538</v>
      </c>
      <c r="D236" s="1">
        <f t="shared" si="13"/>
        <v>75</v>
      </c>
      <c r="E236" s="1">
        <f t="shared" si="14"/>
        <v>0</v>
      </c>
      <c r="F236" s="1">
        <f t="shared" si="15"/>
        <v>501</v>
      </c>
    </row>
    <row r="237" spans="1:6" x14ac:dyDescent="0.25">
      <c r="A237" s="1">
        <v>236</v>
      </c>
      <c r="B237">
        <v>0.67400745968204467</v>
      </c>
      <c r="C237">
        <f t="shared" si="12"/>
        <v>86.275154994220301</v>
      </c>
      <c r="D237" s="1">
        <f t="shared" si="13"/>
        <v>75</v>
      </c>
      <c r="E237" s="1">
        <f t="shared" si="14"/>
        <v>0</v>
      </c>
      <c r="F237" s="1">
        <f t="shared" si="15"/>
        <v>501</v>
      </c>
    </row>
    <row r="238" spans="1:6" x14ac:dyDescent="0.25">
      <c r="A238" s="1">
        <v>237</v>
      </c>
      <c r="B238">
        <v>0.31565515043184789</v>
      </c>
      <c r="C238">
        <f t="shared" si="12"/>
        <v>63.002914835663788</v>
      </c>
      <c r="D238" s="1">
        <f t="shared" si="13"/>
        <v>63</v>
      </c>
      <c r="E238" s="1">
        <f t="shared" si="14"/>
        <v>12</v>
      </c>
      <c r="F238" s="1">
        <f t="shared" si="15"/>
        <v>416.52</v>
      </c>
    </row>
    <row r="239" spans="1:6" x14ac:dyDescent="0.25">
      <c r="A239" s="1">
        <v>238</v>
      </c>
      <c r="B239">
        <v>0.81659716593709775</v>
      </c>
      <c r="C239">
        <f t="shared" si="12"/>
        <v>97.561824517393177</v>
      </c>
      <c r="D239" s="1">
        <f t="shared" si="13"/>
        <v>75</v>
      </c>
      <c r="E239" s="1">
        <f t="shared" si="14"/>
        <v>0</v>
      </c>
      <c r="F239" s="1">
        <f t="shared" si="15"/>
        <v>501</v>
      </c>
    </row>
    <row r="240" spans="1:6" x14ac:dyDescent="0.25">
      <c r="A240" s="1">
        <v>239</v>
      </c>
      <c r="B240">
        <v>0.16722917813494531</v>
      </c>
      <c r="C240">
        <f t="shared" si="12"/>
        <v>50.870684394352047</v>
      </c>
      <c r="D240" s="1">
        <f t="shared" si="13"/>
        <v>51</v>
      </c>
      <c r="E240" s="1">
        <f t="shared" si="14"/>
        <v>24</v>
      </c>
      <c r="F240" s="1">
        <f t="shared" si="15"/>
        <v>332.04</v>
      </c>
    </row>
    <row r="241" spans="1:6" x14ac:dyDescent="0.25">
      <c r="A241" s="1">
        <v>240</v>
      </c>
      <c r="B241">
        <v>0.11711057936634894</v>
      </c>
      <c r="C241">
        <f t="shared" si="12"/>
        <v>45.26111337442083</v>
      </c>
      <c r="D241" s="1">
        <f t="shared" si="13"/>
        <v>45</v>
      </c>
      <c r="E241" s="1">
        <f t="shared" si="14"/>
        <v>30</v>
      </c>
      <c r="F241" s="1">
        <f t="shared" si="15"/>
        <v>289.8</v>
      </c>
    </row>
    <row r="242" spans="1:6" x14ac:dyDescent="0.25">
      <c r="A242" s="1">
        <v>241</v>
      </c>
      <c r="B242">
        <v>0.24047329617117275</v>
      </c>
      <c r="C242">
        <f t="shared" si="12"/>
        <v>57.380477329158111</v>
      </c>
      <c r="D242" s="1">
        <f t="shared" si="13"/>
        <v>57</v>
      </c>
      <c r="E242" s="1">
        <f t="shared" si="14"/>
        <v>18</v>
      </c>
      <c r="F242" s="1">
        <f t="shared" si="15"/>
        <v>374.28</v>
      </c>
    </row>
    <row r="243" spans="1:6" x14ac:dyDescent="0.25">
      <c r="A243" s="1">
        <v>242</v>
      </c>
      <c r="B243">
        <v>0.7482229637948844</v>
      </c>
      <c r="C243">
        <f t="shared" si="12"/>
        <v>91.722703694303647</v>
      </c>
      <c r="D243" s="1">
        <f t="shared" si="13"/>
        <v>75</v>
      </c>
      <c r="E243" s="1">
        <f t="shared" si="14"/>
        <v>0</v>
      </c>
      <c r="F243" s="1">
        <f t="shared" si="15"/>
        <v>501</v>
      </c>
    </row>
    <row r="244" spans="1:6" x14ac:dyDescent="0.25">
      <c r="A244" s="1">
        <v>243</v>
      </c>
      <c r="B244">
        <v>0.50207803304027598</v>
      </c>
      <c r="C244">
        <f t="shared" si="12"/>
        <v>75.130221998230141</v>
      </c>
      <c r="D244" s="1">
        <f t="shared" si="13"/>
        <v>75</v>
      </c>
      <c r="E244" s="1">
        <f t="shared" si="14"/>
        <v>0</v>
      </c>
      <c r="F244" s="1">
        <f t="shared" si="15"/>
        <v>501</v>
      </c>
    </row>
    <row r="245" spans="1:6" x14ac:dyDescent="0.25">
      <c r="A245" s="1">
        <v>244</v>
      </c>
      <c r="B245">
        <v>6.0040968541213102E-2</v>
      </c>
      <c r="C245">
        <f t="shared" si="12"/>
        <v>36.139255789286736</v>
      </c>
      <c r="D245" s="1">
        <f t="shared" si="13"/>
        <v>36</v>
      </c>
      <c r="E245" s="1">
        <f t="shared" si="14"/>
        <v>39</v>
      </c>
      <c r="F245" s="1">
        <f t="shared" si="15"/>
        <v>226.44</v>
      </c>
    </row>
    <row r="246" spans="1:6" x14ac:dyDescent="0.25">
      <c r="A246" s="1">
        <v>245</v>
      </c>
      <c r="B246">
        <v>0.19847815994787976</v>
      </c>
      <c r="C246">
        <f t="shared" si="12"/>
        <v>53.823259615353379</v>
      </c>
      <c r="D246" s="1">
        <f t="shared" si="13"/>
        <v>54</v>
      </c>
      <c r="E246" s="1">
        <f t="shared" si="14"/>
        <v>21</v>
      </c>
      <c r="F246" s="1">
        <f t="shared" si="15"/>
        <v>353.16</v>
      </c>
    </row>
    <row r="247" spans="1:6" x14ac:dyDescent="0.25">
      <c r="A247" s="1">
        <v>246</v>
      </c>
      <c r="B247">
        <v>0.49427831396472399</v>
      </c>
      <c r="C247">
        <f t="shared" si="12"/>
        <v>74.641434207021689</v>
      </c>
      <c r="D247" s="1">
        <f t="shared" si="13"/>
        <v>75</v>
      </c>
      <c r="E247" s="1">
        <f t="shared" si="14"/>
        <v>0</v>
      </c>
      <c r="F247" s="1">
        <f t="shared" si="15"/>
        <v>501</v>
      </c>
    </row>
    <row r="248" spans="1:6" x14ac:dyDescent="0.25">
      <c r="A248" s="1">
        <v>247</v>
      </c>
      <c r="B248">
        <v>0.80235707487361396</v>
      </c>
      <c r="C248">
        <f t="shared" si="12"/>
        <v>96.25176435714053</v>
      </c>
      <c r="D248" s="1">
        <f t="shared" si="13"/>
        <v>75</v>
      </c>
      <c r="E248" s="1">
        <f t="shared" si="14"/>
        <v>0</v>
      </c>
      <c r="F248" s="1">
        <f t="shared" si="15"/>
        <v>501</v>
      </c>
    </row>
    <row r="249" spans="1:6" x14ac:dyDescent="0.25">
      <c r="A249" s="1">
        <v>248</v>
      </c>
      <c r="B249">
        <v>0.31776339708243939</v>
      </c>
      <c r="C249">
        <f t="shared" si="12"/>
        <v>63.150942595177625</v>
      </c>
      <c r="D249" s="1">
        <f t="shared" si="13"/>
        <v>63</v>
      </c>
      <c r="E249" s="1">
        <f t="shared" si="14"/>
        <v>12</v>
      </c>
      <c r="F249" s="1">
        <f t="shared" si="15"/>
        <v>416.52</v>
      </c>
    </row>
    <row r="250" spans="1:6" x14ac:dyDescent="0.25">
      <c r="A250" s="1">
        <v>249</v>
      </c>
      <c r="B250">
        <v>0.22343238969561174</v>
      </c>
      <c r="C250">
        <f t="shared" si="12"/>
        <v>55.983692784402791</v>
      </c>
      <c r="D250" s="1">
        <f t="shared" si="13"/>
        <v>56</v>
      </c>
      <c r="E250" s="1">
        <f t="shared" si="14"/>
        <v>19</v>
      </c>
      <c r="F250" s="1">
        <f t="shared" si="15"/>
        <v>367.24</v>
      </c>
    </row>
    <row r="251" spans="1:6" x14ac:dyDescent="0.25">
      <c r="A251" s="1">
        <v>250</v>
      </c>
      <c r="B251">
        <v>0.13534129074674228</v>
      </c>
      <c r="C251">
        <f t="shared" si="12"/>
        <v>47.462699833308136</v>
      </c>
      <c r="D251" s="1">
        <f t="shared" si="13"/>
        <v>47</v>
      </c>
      <c r="E251" s="1">
        <f t="shared" si="14"/>
        <v>28</v>
      </c>
      <c r="F251" s="1">
        <f t="shared" si="15"/>
        <v>303.88</v>
      </c>
    </row>
    <row r="252" spans="1:6" x14ac:dyDescent="0.25">
      <c r="A252" s="1">
        <v>251</v>
      </c>
      <c r="B252">
        <v>0.6572373644890156</v>
      </c>
      <c r="C252">
        <f t="shared" si="12"/>
        <v>85.12337566042882</v>
      </c>
      <c r="D252" s="1">
        <f t="shared" si="13"/>
        <v>75</v>
      </c>
      <c r="E252" s="1">
        <f t="shared" si="14"/>
        <v>0</v>
      </c>
      <c r="F252" s="1">
        <f t="shared" si="15"/>
        <v>501</v>
      </c>
    </row>
    <row r="253" spans="1:6" x14ac:dyDescent="0.25">
      <c r="A253" s="1">
        <v>252</v>
      </c>
      <c r="B253">
        <v>0.62973169429572085</v>
      </c>
      <c r="C253">
        <f t="shared" si="12"/>
        <v>83.278570412900351</v>
      </c>
      <c r="D253" s="1">
        <f t="shared" si="13"/>
        <v>75</v>
      </c>
      <c r="E253" s="1">
        <f t="shared" si="14"/>
        <v>0</v>
      </c>
      <c r="F253" s="1">
        <f t="shared" si="15"/>
        <v>501</v>
      </c>
    </row>
    <row r="254" spans="1:6" x14ac:dyDescent="0.25">
      <c r="A254" s="1">
        <v>253</v>
      </c>
      <c r="B254">
        <v>0.17779514226744719</v>
      </c>
      <c r="C254">
        <f t="shared" si="12"/>
        <v>51.904991806658089</v>
      </c>
      <c r="D254" s="1">
        <f t="shared" si="13"/>
        <v>52</v>
      </c>
      <c r="E254" s="1">
        <f t="shared" si="14"/>
        <v>23</v>
      </c>
      <c r="F254" s="1">
        <f t="shared" si="15"/>
        <v>339.08</v>
      </c>
    </row>
    <row r="255" spans="1:6" x14ac:dyDescent="0.25">
      <c r="A255" s="1">
        <v>254</v>
      </c>
      <c r="B255">
        <v>0.36050862401137374</v>
      </c>
      <c r="C255">
        <f t="shared" si="12"/>
        <v>66.072510137062849</v>
      </c>
      <c r="D255" s="1">
        <f t="shared" si="13"/>
        <v>66</v>
      </c>
      <c r="E255" s="1">
        <f t="shared" si="14"/>
        <v>9</v>
      </c>
      <c r="F255" s="1">
        <f t="shared" si="15"/>
        <v>437.64</v>
      </c>
    </row>
    <row r="256" spans="1:6" x14ac:dyDescent="0.25">
      <c r="A256" s="1">
        <v>255</v>
      </c>
      <c r="B256">
        <v>0.49679747129323693</v>
      </c>
      <c r="C256">
        <f t="shared" si="12"/>
        <v>74.799309119335618</v>
      </c>
      <c r="D256" s="1">
        <f t="shared" si="13"/>
        <v>75</v>
      </c>
      <c r="E256" s="1">
        <f t="shared" si="14"/>
        <v>0</v>
      </c>
      <c r="F256" s="1">
        <f t="shared" si="15"/>
        <v>501</v>
      </c>
    </row>
    <row r="257" spans="1:6" x14ac:dyDescent="0.25">
      <c r="A257" s="1">
        <v>256</v>
      </c>
      <c r="B257">
        <v>0.70096304366734052</v>
      </c>
      <c r="C257">
        <f t="shared" si="12"/>
        <v>88.179308579741246</v>
      </c>
      <c r="D257" s="1">
        <f t="shared" si="13"/>
        <v>75</v>
      </c>
      <c r="E257" s="1">
        <f t="shared" si="14"/>
        <v>0</v>
      </c>
      <c r="F257" s="1">
        <f t="shared" si="15"/>
        <v>501</v>
      </c>
    </row>
    <row r="258" spans="1:6" x14ac:dyDescent="0.25">
      <c r="A258" s="1">
        <v>257</v>
      </c>
      <c r="B258">
        <v>0.21602355525309169</v>
      </c>
      <c r="C258">
        <f t="shared" si="12"/>
        <v>55.357664135278185</v>
      </c>
      <c r="D258" s="1">
        <f t="shared" si="13"/>
        <v>55</v>
      </c>
      <c r="E258" s="1">
        <f t="shared" si="14"/>
        <v>20</v>
      </c>
      <c r="F258" s="1">
        <f t="shared" si="15"/>
        <v>360.2</v>
      </c>
    </row>
    <row r="259" spans="1:6" x14ac:dyDescent="0.25">
      <c r="A259" s="1">
        <v>258</v>
      </c>
      <c r="B259">
        <v>0.84733692828321006</v>
      </c>
      <c r="C259">
        <f t="shared" ref="C259:C322" si="16">_xlfn.NORM.INV(B259,75,25)</f>
        <v>100.62696281037753</v>
      </c>
      <c r="D259" s="1">
        <f t="shared" ref="D259:D322" si="17">MIN(ROUND(C259,0),$H$2)</f>
        <v>75</v>
      </c>
      <c r="E259" s="1">
        <f t="shared" ref="E259:E322" si="18">$H$2-D259</f>
        <v>0</v>
      </c>
      <c r="F259" s="1">
        <f t="shared" ref="F259:F322" si="19">7*D259-$H$2/25*8-E259/25*1</f>
        <v>501</v>
      </c>
    </row>
    <row r="260" spans="1:6" x14ac:dyDescent="0.25">
      <c r="A260" s="1">
        <v>259</v>
      </c>
      <c r="B260">
        <v>0.12943327082832168</v>
      </c>
      <c r="C260">
        <f t="shared" si="16"/>
        <v>46.773145458644052</v>
      </c>
      <c r="D260" s="1">
        <f t="shared" si="17"/>
        <v>47</v>
      </c>
      <c r="E260" s="1">
        <f t="shared" si="18"/>
        <v>28</v>
      </c>
      <c r="F260" s="1">
        <f t="shared" si="19"/>
        <v>303.88</v>
      </c>
    </row>
    <row r="261" spans="1:6" x14ac:dyDescent="0.25">
      <c r="A261" s="1">
        <v>260</v>
      </c>
      <c r="B261">
        <v>0.29422286383802698</v>
      </c>
      <c r="C261">
        <f t="shared" si="16"/>
        <v>61.4727564258733</v>
      </c>
      <c r="D261" s="1">
        <f t="shared" si="17"/>
        <v>61</v>
      </c>
      <c r="E261" s="1">
        <f t="shared" si="18"/>
        <v>14</v>
      </c>
      <c r="F261" s="1">
        <f t="shared" si="19"/>
        <v>402.44</v>
      </c>
    </row>
    <row r="262" spans="1:6" x14ac:dyDescent="0.25">
      <c r="A262" s="1">
        <v>261</v>
      </c>
      <c r="B262">
        <v>0.86450299853114188</v>
      </c>
      <c r="C262">
        <f t="shared" si="16"/>
        <v>102.51940899732315</v>
      </c>
      <c r="D262" s="1">
        <f t="shared" si="17"/>
        <v>75</v>
      </c>
      <c r="E262" s="1">
        <f t="shared" si="18"/>
        <v>0</v>
      </c>
      <c r="F262" s="1">
        <f t="shared" si="19"/>
        <v>501</v>
      </c>
    </row>
    <row r="263" spans="1:6" x14ac:dyDescent="0.25">
      <c r="A263" s="1">
        <v>262</v>
      </c>
      <c r="B263">
        <v>0.47839952556886955</v>
      </c>
      <c r="C263">
        <f t="shared" si="16"/>
        <v>73.645728945662611</v>
      </c>
      <c r="D263" s="1">
        <f t="shared" si="17"/>
        <v>74</v>
      </c>
      <c r="E263" s="1">
        <f t="shared" si="18"/>
        <v>1</v>
      </c>
      <c r="F263" s="1">
        <f t="shared" si="19"/>
        <v>493.96</v>
      </c>
    </row>
    <row r="264" spans="1:6" x14ac:dyDescent="0.25">
      <c r="A264" s="1">
        <v>263</v>
      </c>
      <c r="B264">
        <v>0.53722156481308014</v>
      </c>
      <c r="C264">
        <f t="shared" si="16"/>
        <v>77.335910113281244</v>
      </c>
      <c r="D264" s="1">
        <f t="shared" si="17"/>
        <v>75</v>
      </c>
      <c r="E264" s="1">
        <f t="shared" si="18"/>
        <v>0</v>
      </c>
      <c r="F264" s="1">
        <f t="shared" si="19"/>
        <v>501</v>
      </c>
    </row>
    <row r="265" spans="1:6" x14ac:dyDescent="0.25">
      <c r="A265" s="1">
        <v>264</v>
      </c>
      <c r="B265">
        <v>7.6223338915196726E-3</v>
      </c>
      <c r="C265">
        <f t="shared" si="16"/>
        <v>14.337153362904544</v>
      </c>
      <c r="D265" s="1">
        <f t="shared" si="17"/>
        <v>14</v>
      </c>
      <c r="E265" s="1">
        <f t="shared" si="18"/>
        <v>61</v>
      </c>
      <c r="F265" s="1">
        <f t="shared" si="19"/>
        <v>71.56</v>
      </c>
    </row>
    <row r="266" spans="1:6" x14ac:dyDescent="0.25">
      <c r="A266" s="1">
        <v>265</v>
      </c>
      <c r="B266">
        <v>0.13212639958395256</v>
      </c>
      <c r="C266">
        <f t="shared" si="16"/>
        <v>47.090107842223347</v>
      </c>
      <c r="D266" s="1">
        <f t="shared" si="17"/>
        <v>47</v>
      </c>
      <c r="E266" s="1">
        <f t="shared" si="18"/>
        <v>28</v>
      </c>
      <c r="F266" s="1">
        <f t="shared" si="19"/>
        <v>303.88</v>
      </c>
    </row>
    <row r="267" spans="1:6" x14ac:dyDescent="0.25">
      <c r="A267" s="1">
        <v>266</v>
      </c>
      <c r="B267">
        <v>6.023044494939056E-2</v>
      </c>
      <c r="C267">
        <f t="shared" si="16"/>
        <v>36.178950409594059</v>
      </c>
      <c r="D267" s="1">
        <f t="shared" si="17"/>
        <v>36</v>
      </c>
      <c r="E267" s="1">
        <f t="shared" si="18"/>
        <v>39</v>
      </c>
      <c r="F267" s="1">
        <f t="shared" si="19"/>
        <v>226.44</v>
      </c>
    </row>
    <row r="268" spans="1:6" x14ac:dyDescent="0.25">
      <c r="A268" s="1">
        <v>267</v>
      </c>
      <c r="B268">
        <v>0.79875731081689372</v>
      </c>
      <c r="C268">
        <f t="shared" si="16"/>
        <v>95.929767757750213</v>
      </c>
      <c r="D268" s="1">
        <f t="shared" si="17"/>
        <v>75</v>
      </c>
      <c r="E268" s="1">
        <f t="shared" si="18"/>
        <v>0</v>
      </c>
      <c r="F268" s="1">
        <f t="shared" si="19"/>
        <v>501</v>
      </c>
    </row>
    <row r="269" spans="1:6" x14ac:dyDescent="0.25">
      <c r="A269" s="1">
        <v>268</v>
      </c>
      <c r="B269">
        <v>0.90323964274739876</v>
      </c>
      <c r="C269">
        <f t="shared" si="16"/>
        <v>107.50585484213087</v>
      </c>
      <c r="D269" s="1">
        <f t="shared" si="17"/>
        <v>75</v>
      </c>
      <c r="E269" s="1">
        <f t="shared" si="18"/>
        <v>0</v>
      </c>
      <c r="F269" s="1">
        <f t="shared" si="19"/>
        <v>501</v>
      </c>
    </row>
    <row r="270" spans="1:6" x14ac:dyDescent="0.25">
      <c r="A270" s="1">
        <v>269</v>
      </c>
      <c r="B270">
        <v>0.11203033227001058</v>
      </c>
      <c r="C270">
        <f t="shared" si="16"/>
        <v>44.604970193882849</v>
      </c>
      <c r="D270" s="1">
        <f t="shared" si="17"/>
        <v>45</v>
      </c>
      <c r="E270" s="1">
        <f t="shared" si="18"/>
        <v>30</v>
      </c>
      <c r="F270" s="1">
        <f t="shared" si="19"/>
        <v>289.8</v>
      </c>
    </row>
    <row r="271" spans="1:6" x14ac:dyDescent="0.25">
      <c r="A271" s="1">
        <v>270</v>
      </c>
      <c r="B271">
        <v>6.6488949831927213E-2</v>
      </c>
      <c r="C271">
        <f t="shared" si="16"/>
        <v>37.438456294327956</v>
      </c>
      <c r="D271" s="1">
        <f t="shared" si="17"/>
        <v>37</v>
      </c>
      <c r="E271" s="1">
        <f t="shared" si="18"/>
        <v>38</v>
      </c>
      <c r="F271" s="1">
        <f t="shared" si="19"/>
        <v>233.48</v>
      </c>
    </row>
    <row r="272" spans="1:6" x14ac:dyDescent="0.25">
      <c r="A272" s="1">
        <v>271</v>
      </c>
      <c r="B272">
        <v>0.42226605295275044</v>
      </c>
      <c r="C272">
        <f t="shared" si="16"/>
        <v>70.097506696334065</v>
      </c>
      <c r="D272" s="1">
        <f t="shared" si="17"/>
        <v>70</v>
      </c>
      <c r="E272" s="1">
        <f t="shared" si="18"/>
        <v>5</v>
      </c>
      <c r="F272" s="1">
        <f t="shared" si="19"/>
        <v>465.8</v>
      </c>
    </row>
    <row r="273" spans="1:6" x14ac:dyDescent="0.25">
      <c r="A273" s="1">
        <v>272</v>
      </c>
      <c r="B273">
        <v>0.38440884070610348</v>
      </c>
      <c r="C273">
        <f t="shared" si="16"/>
        <v>67.651955716805105</v>
      </c>
      <c r="D273" s="1">
        <f t="shared" si="17"/>
        <v>68</v>
      </c>
      <c r="E273" s="1">
        <f t="shared" si="18"/>
        <v>7</v>
      </c>
      <c r="F273" s="1">
        <f t="shared" si="19"/>
        <v>451.72</v>
      </c>
    </row>
    <row r="274" spans="1:6" x14ac:dyDescent="0.25">
      <c r="A274" s="1">
        <v>273</v>
      </c>
      <c r="B274">
        <v>7.36353721594597E-2</v>
      </c>
      <c r="C274">
        <f t="shared" si="16"/>
        <v>38.769015567672781</v>
      </c>
      <c r="D274" s="1">
        <f t="shared" si="17"/>
        <v>39</v>
      </c>
      <c r="E274" s="1">
        <f t="shared" si="18"/>
        <v>36</v>
      </c>
      <c r="F274" s="1">
        <f t="shared" si="19"/>
        <v>247.56</v>
      </c>
    </row>
    <row r="275" spans="1:6" x14ac:dyDescent="0.25">
      <c r="A275" s="1">
        <v>274</v>
      </c>
      <c r="B275">
        <v>0.48468005766010336</v>
      </c>
      <c r="C275">
        <f t="shared" si="16"/>
        <v>74.039728906847856</v>
      </c>
      <c r="D275" s="1">
        <f t="shared" si="17"/>
        <v>74</v>
      </c>
      <c r="E275" s="1">
        <f t="shared" si="18"/>
        <v>1</v>
      </c>
      <c r="F275" s="1">
        <f t="shared" si="19"/>
        <v>493.96</v>
      </c>
    </row>
    <row r="276" spans="1:6" x14ac:dyDescent="0.25">
      <c r="A276" s="1">
        <v>275</v>
      </c>
      <c r="B276">
        <v>0.56815702567417636</v>
      </c>
      <c r="C276">
        <f t="shared" si="16"/>
        <v>79.292100525744218</v>
      </c>
      <c r="D276" s="1">
        <f t="shared" si="17"/>
        <v>75</v>
      </c>
      <c r="E276" s="1">
        <f t="shared" si="18"/>
        <v>0</v>
      </c>
      <c r="F276" s="1">
        <f t="shared" si="19"/>
        <v>501</v>
      </c>
    </row>
    <row r="277" spans="1:6" x14ac:dyDescent="0.25">
      <c r="A277" s="1">
        <v>276</v>
      </c>
      <c r="B277">
        <v>0.11442664368607958</v>
      </c>
      <c r="C277">
        <f t="shared" si="16"/>
        <v>44.917050080888657</v>
      </c>
      <c r="D277" s="1">
        <f t="shared" si="17"/>
        <v>45</v>
      </c>
      <c r="E277" s="1">
        <f t="shared" si="18"/>
        <v>30</v>
      </c>
      <c r="F277" s="1">
        <f t="shared" si="19"/>
        <v>289.8</v>
      </c>
    </row>
    <row r="278" spans="1:6" x14ac:dyDescent="0.25">
      <c r="A278" s="1">
        <v>277</v>
      </c>
      <c r="B278">
        <v>0.39721169130148304</v>
      </c>
      <c r="C278">
        <f t="shared" si="16"/>
        <v>68.485725865383586</v>
      </c>
      <c r="D278" s="1">
        <f t="shared" si="17"/>
        <v>68</v>
      </c>
      <c r="E278" s="1">
        <f t="shared" si="18"/>
        <v>7</v>
      </c>
      <c r="F278" s="1">
        <f t="shared" si="19"/>
        <v>451.72</v>
      </c>
    </row>
    <row r="279" spans="1:6" x14ac:dyDescent="0.25">
      <c r="A279" s="1">
        <v>278</v>
      </c>
      <c r="B279">
        <v>5.5050810033541175E-4</v>
      </c>
      <c r="C279">
        <f t="shared" si="16"/>
        <v>-6.5838678488338047</v>
      </c>
      <c r="D279" s="1">
        <f t="shared" si="17"/>
        <v>-7</v>
      </c>
      <c r="E279" s="1">
        <f t="shared" si="18"/>
        <v>82</v>
      </c>
      <c r="F279" s="1">
        <f t="shared" si="19"/>
        <v>-76.28</v>
      </c>
    </row>
    <row r="280" spans="1:6" x14ac:dyDescent="0.25">
      <c r="A280" s="1">
        <v>279</v>
      </c>
      <c r="B280">
        <v>0.40196583609568348</v>
      </c>
      <c r="C280">
        <f t="shared" si="16"/>
        <v>68.793449154069023</v>
      </c>
      <c r="D280" s="1">
        <f t="shared" si="17"/>
        <v>69</v>
      </c>
      <c r="E280" s="1">
        <f t="shared" si="18"/>
        <v>6</v>
      </c>
      <c r="F280" s="1">
        <f t="shared" si="19"/>
        <v>458.76</v>
      </c>
    </row>
    <row r="281" spans="1:6" x14ac:dyDescent="0.25">
      <c r="A281" s="1">
        <v>280</v>
      </c>
      <c r="B281">
        <v>0.99429774193328935</v>
      </c>
      <c r="C281">
        <f t="shared" si="16"/>
        <v>138.2513355187229</v>
      </c>
      <c r="D281" s="1">
        <f t="shared" si="17"/>
        <v>75</v>
      </c>
      <c r="E281" s="1">
        <f t="shared" si="18"/>
        <v>0</v>
      </c>
      <c r="F281" s="1">
        <f t="shared" si="19"/>
        <v>501</v>
      </c>
    </row>
    <row r="282" spans="1:6" x14ac:dyDescent="0.25">
      <c r="A282" s="1">
        <v>281</v>
      </c>
      <c r="B282">
        <v>0.53559392217886737</v>
      </c>
      <c r="C282">
        <f t="shared" si="16"/>
        <v>77.233485847112874</v>
      </c>
      <c r="D282" s="1">
        <f t="shared" si="17"/>
        <v>75</v>
      </c>
      <c r="E282" s="1">
        <f t="shared" si="18"/>
        <v>0</v>
      </c>
      <c r="F282" s="1">
        <f t="shared" si="19"/>
        <v>501</v>
      </c>
    </row>
    <row r="283" spans="1:6" x14ac:dyDescent="0.25">
      <c r="A283" s="1">
        <v>282</v>
      </c>
      <c r="B283">
        <v>0.14618378860366577</v>
      </c>
      <c r="C283">
        <f t="shared" si="16"/>
        <v>48.67645010771929</v>
      </c>
      <c r="D283" s="1">
        <f t="shared" si="17"/>
        <v>49</v>
      </c>
      <c r="E283" s="1">
        <f t="shared" si="18"/>
        <v>26</v>
      </c>
      <c r="F283" s="1">
        <f t="shared" si="19"/>
        <v>317.95999999999998</v>
      </c>
    </row>
    <row r="284" spans="1:6" x14ac:dyDescent="0.25">
      <c r="A284" s="1">
        <v>283</v>
      </c>
      <c r="B284">
        <v>0.91295130730972496</v>
      </c>
      <c r="C284">
        <f t="shared" si="16"/>
        <v>108.97888226645296</v>
      </c>
      <c r="D284" s="1">
        <f t="shared" si="17"/>
        <v>75</v>
      </c>
      <c r="E284" s="1">
        <f t="shared" si="18"/>
        <v>0</v>
      </c>
      <c r="F284" s="1">
        <f t="shared" si="19"/>
        <v>501</v>
      </c>
    </row>
    <row r="285" spans="1:6" x14ac:dyDescent="0.25">
      <c r="A285" s="1">
        <v>284</v>
      </c>
      <c r="B285">
        <v>0.71343419744157999</v>
      </c>
      <c r="C285">
        <f t="shared" si="16"/>
        <v>89.086135903205047</v>
      </c>
      <c r="D285" s="1">
        <f t="shared" si="17"/>
        <v>75</v>
      </c>
      <c r="E285" s="1">
        <f t="shared" si="18"/>
        <v>0</v>
      </c>
      <c r="F285" s="1">
        <f t="shared" si="19"/>
        <v>501</v>
      </c>
    </row>
    <row r="286" spans="1:6" x14ac:dyDescent="0.25">
      <c r="A286" s="1">
        <v>285</v>
      </c>
      <c r="B286">
        <v>0.80530262857579604</v>
      </c>
      <c r="C286">
        <f t="shared" si="16"/>
        <v>96.517888012724796</v>
      </c>
      <c r="D286" s="1">
        <f t="shared" si="17"/>
        <v>75</v>
      </c>
      <c r="E286" s="1">
        <f t="shared" si="18"/>
        <v>0</v>
      </c>
      <c r="F286" s="1">
        <f t="shared" si="19"/>
        <v>501</v>
      </c>
    </row>
    <row r="287" spans="1:6" x14ac:dyDescent="0.25">
      <c r="A287" s="1">
        <v>286</v>
      </c>
      <c r="B287">
        <v>0.4862972325125039</v>
      </c>
      <c r="C287">
        <f t="shared" si="16"/>
        <v>74.141137476482214</v>
      </c>
      <c r="D287" s="1">
        <f t="shared" si="17"/>
        <v>74</v>
      </c>
      <c r="E287" s="1">
        <f t="shared" si="18"/>
        <v>1</v>
      </c>
      <c r="F287" s="1">
        <f t="shared" si="19"/>
        <v>493.96</v>
      </c>
    </row>
    <row r="288" spans="1:6" x14ac:dyDescent="0.25">
      <c r="A288" s="1">
        <v>287</v>
      </c>
      <c r="B288">
        <v>0.23060848725865768</v>
      </c>
      <c r="C288">
        <f t="shared" si="16"/>
        <v>56.578889818037624</v>
      </c>
      <c r="D288" s="1">
        <f t="shared" si="17"/>
        <v>57</v>
      </c>
      <c r="E288" s="1">
        <f t="shared" si="18"/>
        <v>18</v>
      </c>
      <c r="F288" s="1">
        <f t="shared" si="19"/>
        <v>374.28</v>
      </c>
    </row>
    <row r="289" spans="1:6" x14ac:dyDescent="0.25">
      <c r="A289" s="1">
        <v>288</v>
      </c>
      <c r="B289">
        <v>0.35624171217040324</v>
      </c>
      <c r="C289">
        <f t="shared" si="16"/>
        <v>65.786929220096866</v>
      </c>
      <c r="D289" s="1">
        <f t="shared" si="17"/>
        <v>66</v>
      </c>
      <c r="E289" s="1">
        <f t="shared" si="18"/>
        <v>9</v>
      </c>
      <c r="F289" s="1">
        <f t="shared" si="19"/>
        <v>437.64</v>
      </c>
    </row>
    <row r="290" spans="1:6" x14ac:dyDescent="0.25">
      <c r="A290" s="1">
        <v>289</v>
      </c>
      <c r="B290">
        <v>0.8531286126621368</v>
      </c>
      <c r="C290">
        <f t="shared" si="16"/>
        <v>101.24865902863375</v>
      </c>
      <c r="D290" s="1">
        <f t="shared" si="17"/>
        <v>75</v>
      </c>
      <c r="E290" s="1">
        <f t="shared" si="18"/>
        <v>0</v>
      </c>
      <c r="F290" s="1">
        <f t="shared" si="19"/>
        <v>501</v>
      </c>
    </row>
    <row r="291" spans="1:6" x14ac:dyDescent="0.25">
      <c r="A291" s="1">
        <v>290</v>
      </c>
      <c r="B291">
        <v>0.47085011810727717</v>
      </c>
      <c r="C291">
        <f t="shared" si="16"/>
        <v>73.171673569221142</v>
      </c>
      <c r="D291" s="1">
        <f t="shared" si="17"/>
        <v>73</v>
      </c>
      <c r="E291" s="1">
        <f t="shared" si="18"/>
        <v>2</v>
      </c>
      <c r="F291" s="1">
        <f t="shared" si="19"/>
        <v>486.92</v>
      </c>
    </row>
    <row r="292" spans="1:6" x14ac:dyDescent="0.25">
      <c r="A292" s="1">
        <v>291</v>
      </c>
      <c r="B292">
        <v>0.50346457659880561</v>
      </c>
      <c r="C292">
        <f t="shared" si="16"/>
        <v>75.217112870661552</v>
      </c>
      <c r="D292" s="1">
        <f t="shared" si="17"/>
        <v>75</v>
      </c>
      <c r="E292" s="1">
        <f t="shared" si="18"/>
        <v>0</v>
      </c>
      <c r="F292" s="1">
        <f t="shared" si="19"/>
        <v>501</v>
      </c>
    </row>
    <row r="293" spans="1:6" x14ac:dyDescent="0.25">
      <c r="A293" s="1">
        <v>292</v>
      </c>
      <c r="B293">
        <v>0.90203664796091854</v>
      </c>
      <c r="C293">
        <f t="shared" si="16"/>
        <v>107.33109841225158</v>
      </c>
      <c r="D293" s="1">
        <f t="shared" si="17"/>
        <v>75</v>
      </c>
      <c r="E293" s="1">
        <f t="shared" si="18"/>
        <v>0</v>
      </c>
      <c r="F293" s="1">
        <f t="shared" si="19"/>
        <v>501</v>
      </c>
    </row>
    <row r="294" spans="1:6" x14ac:dyDescent="0.25">
      <c r="A294" s="1">
        <v>293</v>
      </c>
      <c r="B294">
        <v>0.28129886090711953</v>
      </c>
      <c r="C294">
        <f t="shared" si="16"/>
        <v>60.525316732061206</v>
      </c>
      <c r="D294" s="1">
        <f t="shared" si="17"/>
        <v>61</v>
      </c>
      <c r="E294" s="1">
        <f t="shared" si="18"/>
        <v>14</v>
      </c>
      <c r="F294" s="1">
        <f t="shared" si="19"/>
        <v>402.44</v>
      </c>
    </row>
    <row r="295" spans="1:6" x14ac:dyDescent="0.25">
      <c r="A295" s="1">
        <v>294</v>
      </c>
      <c r="B295">
        <v>0.12911644371202469</v>
      </c>
      <c r="C295">
        <f t="shared" si="16"/>
        <v>46.735558068744709</v>
      </c>
      <c r="D295" s="1">
        <f t="shared" si="17"/>
        <v>47</v>
      </c>
      <c r="E295" s="1">
        <f t="shared" si="18"/>
        <v>28</v>
      </c>
      <c r="F295" s="1">
        <f t="shared" si="19"/>
        <v>303.88</v>
      </c>
    </row>
    <row r="296" spans="1:6" x14ac:dyDescent="0.25">
      <c r="A296" s="1">
        <v>295</v>
      </c>
      <c r="B296">
        <v>0.4018397120168119</v>
      </c>
      <c r="C296">
        <f t="shared" si="16"/>
        <v>68.785297810538879</v>
      </c>
      <c r="D296" s="1">
        <f t="shared" si="17"/>
        <v>69</v>
      </c>
      <c r="E296" s="1">
        <f t="shared" si="18"/>
        <v>6</v>
      </c>
      <c r="F296" s="1">
        <f t="shared" si="19"/>
        <v>458.76</v>
      </c>
    </row>
    <row r="297" spans="1:6" x14ac:dyDescent="0.25">
      <c r="A297" s="1">
        <v>296</v>
      </c>
      <c r="B297">
        <v>0.46496355244785204</v>
      </c>
      <c r="C297">
        <f t="shared" si="16"/>
        <v>72.80158620218802</v>
      </c>
      <c r="D297" s="1">
        <f t="shared" si="17"/>
        <v>73</v>
      </c>
      <c r="E297" s="1">
        <f t="shared" si="18"/>
        <v>2</v>
      </c>
      <c r="F297" s="1">
        <f t="shared" si="19"/>
        <v>486.92</v>
      </c>
    </row>
    <row r="298" spans="1:6" x14ac:dyDescent="0.25">
      <c r="A298" s="1">
        <v>297</v>
      </c>
      <c r="B298">
        <v>0.15466978027672951</v>
      </c>
      <c r="C298">
        <f t="shared" si="16"/>
        <v>49.584779701729673</v>
      </c>
      <c r="D298" s="1">
        <f t="shared" si="17"/>
        <v>50</v>
      </c>
      <c r="E298" s="1">
        <f t="shared" si="18"/>
        <v>25</v>
      </c>
      <c r="F298" s="1">
        <f t="shared" si="19"/>
        <v>325</v>
      </c>
    </row>
    <row r="299" spans="1:6" x14ac:dyDescent="0.25">
      <c r="A299" s="1">
        <v>298</v>
      </c>
      <c r="B299">
        <v>7.1084042266231218E-2</v>
      </c>
      <c r="C299">
        <f t="shared" si="16"/>
        <v>38.305876550909929</v>
      </c>
      <c r="D299" s="1">
        <f t="shared" si="17"/>
        <v>38</v>
      </c>
      <c r="E299" s="1">
        <f t="shared" si="18"/>
        <v>37</v>
      </c>
      <c r="F299" s="1">
        <f t="shared" si="19"/>
        <v>240.52</v>
      </c>
    </row>
    <row r="300" spans="1:6" x14ac:dyDescent="0.25">
      <c r="A300" s="1">
        <v>299</v>
      </c>
      <c r="B300">
        <v>0.97632111677948286</v>
      </c>
      <c r="C300">
        <f t="shared" si="16"/>
        <v>124.5771629142356</v>
      </c>
      <c r="D300" s="1">
        <f t="shared" si="17"/>
        <v>75</v>
      </c>
      <c r="E300" s="1">
        <f t="shared" si="18"/>
        <v>0</v>
      </c>
      <c r="F300" s="1">
        <f t="shared" si="19"/>
        <v>501</v>
      </c>
    </row>
    <row r="301" spans="1:6" x14ac:dyDescent="0.25">
      <c r="A301" s="1">
        <v>300</v>
      </c>
      <c r="B301">
        <v>6.5162128396281993E-2</v>
      </c>
      <c r="C301">
        <f t="shared" si="16"/>
        <v>37.179388779592102</v>
      </c>
      <c r="D301" s="1">
        <f t="shared" si="17"/>
        <v>37</v>
      </c>
      <c r="E301" s="1">
        <f t="shared" si="18"/>
        <v>38</v>
      </c>
      <c r="F301" s="1">
        <f t="shared" si="19"/>
        <v>233.48</v>
      </c>
    </row>
    <row r="302" spans="1:6" x14ac:dyDescent="0.25">
      <c r="A302" s="1">
        <v>301</v>
      </c>
      <c r="B302">
        <v>0.60028851843197462</v>
      </c>
      <c r="C302">
        <f t="shared" si="16"/>
        <v>81.35234920595407</v>
      </c>
      <c r="D302" s="1">
        <f t="shared" si="17"/>
        <v>75</v>
      </c>
      <c r="E302" s="1">
        <f t="shared" si="18"/>
        <v>0</v>
      </c>
      <c r="F302" s="1">
        <f t="shared" si="19"/>
        <v>501</v>
      </c>
    </row>
    <row r="303" spans="1:6" x14ac:dyDescent="0.25">
      <c r="A303" s="1">
        <v>302</v>
      </c>
      <c r="B303">
        <v>0.18879527825787779</v>
      </c>
      <c r="C303">
        <f t="shared" si="16"/>
        <v>52.941388317345684</v>
      </c>
      <c r="D303" s="1">
        <f t="shared" si="17"/>
        <v>53</v>
      </c>
      <c r="E303" s="1">
        <f t="shared" si="18"/>
        <v>22</v>
      </c>
      <c r="F303" s="1">
        <f t="shared" si="19"/>
        <v>346.12</v>
      </c>
    </row>
    <row r="304" spans="1:6" x14ac:dyDescent="0.25">
      <c r="A304" s="1">
        <v>303</v>
      </c>
      <c r="B304">
        <v>0.58129090518466076</v>
      </c>
      <c r="C304">
        <f t="shared" si="16"/>
        <v>80.129925755176515</v>
      </c>
      <c r="D304" s="1">
        <f t="shared" si="17"/>
        <v>75</v>
      </c>
      <c r="E304" s="1">
        <f t="shared" si="18"/>
        <v>0</v>
      </c>
      <c r="F304" s="1">
        <f t="shared" si="19"/>
        <v>501</v>
      </c>
    </row>
    <row r="305" spans="1:6" x14ac:dyDescent="0.25">
      <c r="A305" s="1">
        <v>304</v>
      </c>
      <c r="B305">
        <v>0.44954831818865404</v>
      </c>
      <c r="C305">
        <f t="shared" si="16"/>
        <v>71.82993495351009</v>
      </c>
      <c r="D305" s="1">
        <f t="shared" si="17"/>
        <v>72</v>
      </c>
      <c r="E305" s="1">
        <f t="shared" si="18"/>
        <v>3</v>
      </c>
      <c r="F305" s="1">
        <f t="shared" si="19"/>
        <v>479.88</v>
      </c>
    </row>
    <row r="306" spans="1:6" x14ac:dyDescent="0.25">
      <c r="A306" s="1">
        <v>305</v>
      </c>
      <c r="B306">
        <v>0.44549495476205558</v>
      </c>
      <c r="C306">
        <f t="shared" si="16"/>
        <v>71.573706854585168</v>
      </c>
      <c r="D306" s="1">
        <f t="shared" si="17"/>
        <v>72</v>
      </c>
      <c r="E306" s="1">
        <f t="shared" si="18"/>
        <v>3</v>
      </c>
      <c r="F306" s="1">
        <f t="shared" si="19"/>
        <v>479.88</v>
      </c>
    </row>
    <row r="307" spans="1:6" x14ac:dyDescent="0.25">
      <c r="A307" s="1">
        <v>306</v>
      </c>
      <c r="B307">
        <v>0.85322686467053033</v>
      </c>
      <c r="C307">
        <f t="shared" si="16"/>
        <v>101.2593458665834</v>
      </c>
      <c r="D307" s="1">
        <f t="shared" si="17"/>
        <v>75</v>
      </c>
      <c r="E307" s="1">
        <f t="shared" si="18"/>
        <v>0</v>
      </c>
      <c r="F307" s="1">
        <f t="shared" si="19"/>
        <v>501</v>
      </c>
    </row>
    <row r="308" spans="1:6" x14ac:dyDescent="0.25">
      <c r="A308" s="1">
        <v>307</v>
      </c>
      <c r="B308">
        <v>0.66046983997585174</v>
      </c>
      <c r="C308">
        <f t="shared" si="16"/>
        <v>85.343643679870212</v>
      </c>
      <c r="D308" s="1">
        <f t="shared" si="17"/>
        <v>75</v>
      </c>
      <c r="E308" s="1">
        <f t="shared" si="18"/>
        <v>0</v>
      </c>
      <c r="F308" s="1">
        <f t="shared" si="19"/>
        <v>501</v>
      </c>
    </row>
    <row r="309" spans="1:6" x14ac:dyDescent="0.25">
      <c r="A309" s="1">
        <v>308</v>
      </c>
      <c r="B309">
        <v>0.92546220557301373</v>
      </c>
      <c r="C309">
        <f t="shared" si="16"/>
        <v>111.07010915659052</v>
      </c>
      <c r="D309" s="1">
        <f t="shared" si="17"/>
        <v>75</v>
      </c>
      <c r="E309" s="1">
        <f t="shared" si="18"/>
        <v>0</v>
      </c>
      <c r="F309" s="1">
        <f t="shared" si="19"/>
        <v>501</v>
      </c>
    </row>
    <row r="310" spans="1:6" x14ac:dyDescent="0.25">
      <c r="A310" s="1">
        <v>309</v>
      </c>
      <c r="B310">
        <v>0.86848562629004555</v>
      </c>
      <c r="C310">
        <f t="shared" si="16"/>
        <v>102.98152858722044</v>
      </c>
      <c r="D310" s="1">
        <f t="shared" si="17"/>
        <v>75</v>
      </c>
      <c r="E310" s="1">
        <f t="shared" si="18"/>
        <v>0</v>
      </c>
      <c r="F310" s="1">
        <f t="shared" si="19"/>
        <v>501</v>
      </c>
    </row>
    <row r="311" spans="1:6" x14ac:dyDescent="0.25">
      <c r="A311" s="1">
        <v>310</v>
      </c>
      <c r="B311">
        <v>0.24402837504308783</v>
      </c>
      <c r="C311">
        <f t="shared" si="16"/>
        <v>57.664927788437502</v>
      </c>
      <c r="D311" s="1">
        <f t="shared" si="17"/>
        <v>58</v>
      </c>
      <c r="E311" s="1">
        <f t="shared" si="18"/>
        <v>17</v>
      </c>
      <c r="F311" s="1">
        <f t="shared" si="19"/>
        <v>381.32</v>
      </c>
    </row>
    <row r="312" spans="1:6" x14ac:dyDescent="0.25">
      <c r="A312" s="1">
        <v>311</v>
      </c>
      <c r="B312">
        <v>0.67082378583985602</v>
      </c>
      <c r="C312">
        <f t="shared" si="16"/>
        <v>86.054725587902624</v>
      </c>
      <c r="D312" s="1">
        <f t="shared" si="17"/>
        <v>75</v>
      </c>
      <c r="E312" s="1">
        <f t="shared" si="18"/>
        <v>0</v>
      </c>
      <c r="F312" s="1">
        <f t="shared" si="19"/>
        <v>501</v>
      </c>
    </row>
    <row r="313" spans="1:6" x14ac:dyDescent="0.25">
      <c r="A313" s="1">
        <v>312</v>
      </c>
      <c r="B313">
        <v>0.46065048077958359</v>
      </c>
      <c r="C313">
        <f t="shared" si="16"/>
        <v>72.530122577598917</v>
      </c>
      <c r="D313" s="1">
        <f t="shared" si="17"/>
        <v>73</v>
      </c>
      <c r="E313" s="1">
        <f t="shared" si="18"/>
        <v>2</v>
      </c>
      <c r="F313" s="1">
        <f t="shared" si="19"/>
        <v>486.92</v>
      </c>
    </row>
    <row r="314" spans="1:6" x14ac:dyDescent="0.25">
      <c r="A314" s="1">
        <v>313</v>
      </c>
      <c r="B314">
        <v>0.616029984929782</v>
      </c>
      <c r="C314">
        <f t="shared" si="16"/>
        <v>82.376762316528385</v>
      </c>
      <c r="D314" s="1">
        <f t="shared" si="17"/>
        <v>75</v>
      </c>
      <c r="E314" s="1">
        <f t="shared" si="18"/>
        <v>0</v>
      </c>
      <c r="F314" s="1">
        <f t="shared" si="19"/>
        <v>501</v>
      </c>
    </row>
    <row r="315" spans="1:6" x14ac:dyDescent="0.25">
      <c r="A315" s="1">
        <v>314</v>
      </c>
      <c r="B315">
        <v>0.66139016997250411</v>
      </c>
      <c r="C315">
        <f t="shared" si="16"/>
        <v>85.406503383432408</v>
      </c>
      <c r="D315" s="1">
        <f t="shared" si="17"/>
        <v>75</v>
      </c>
      <c r="E315" s="1">
        <f t="shared" si="18"/>
        <v>0</v>
      </c>
      <c r="F315" s="1">
        <f t="shared" si="19"/>
        <v>501</v>
      </c>
    </row>
    <row r="316" spans="1:6" x14ac:dyDescent="0.25">
      <c r="A316" s="1">
        <v>315</v>
      </c>
      <c r="B316">
        <v>0.31765576996787737</v>
      </c>
      <c r="C316">
        <f t="shared" si="16"/>
        <v>63.143395797153502</v>
      </c>
      <c r="D316" s="1">
        <f t="shared" si="17"/>
        <v>63</v>
      </c>
      <c r="E316" s="1">
        <f t="shared" si="18"/>
        <v>12</v>
      </c>
      <c r="F316" s="1">
        <f t="shared" si="19"/>
        <v>416.52</v>
      </c>
    </row>
    <row r="317" spans="1:6" x14ac:dyDescent="0.25">
      <c r="A317" s="1">
        <v>316</v>
      </c>
      <c r="B317">
        <v>0.20706847790688099</v>
      </c>
      <c r="C317">
        <f t="shared" si="16"/>
        <v>54.584121001275577</v>
      </c>
      <c r="D317" s="1">
        <f t="shared" si="17"/>
        <v>55</v>
      </c>
      <c r="E317" s="1">
        <f t="shared" si="18"/>
        <v>20</v>
      </c>
      <c r="F317" s="1">
        <f t="shared" si="19"/>
        <v>360.2</v>
      </c>
    </row>
    <row r="318" spans="1:6" x14ac:dyDescent="0.25">
      <c r="A318" s="1">
        <v>317</v>
      </c>
      <c r="B318">
        <v>0.54543329222841863</v>
      </c>
      <c r="C318">
        <f t="shared" si="16"/>
        <v>77.853291802830455</v>
      </c>
      <c r="D318" s="1">
        <f t="shared" si="17"/>
        <v>75</v>
      </c>
      <c r="E318" s="1">
        <f t="shared" si="18"/>
        <v>0</v>
      </c>
      <c r="F318" s="1">
        <f t="shared" si="19"/>
        <v>501</v>
      </c>
    </row>
    <row r="319" spans="1:6" x14ac:dyDescent="0.25">
      <c r="A319" s="1">
        <v>318</v>
      </c>
      <c r="B319">
        <v>0.25531483311891479</v>
      </c>
      <c r="C319">
        <f t="shared" si="16"/>
        <v>58.553561099551828</v>
      </c>
      <c r="D319" s="1">
        <f t="shared" si="17"/>
        <v>59</v>
      </c>
      <c r="E319" s="1">
        <f t="shared" si="18"/>
        <v>16</v>
      </c>
      <c r="F319" s="1">
        <f t="shared" si="19"/>
        <v>388.36</v>
      </c>
    </row>
    <row r="320" spans="1:6" x14ac:dyDescent="0.25">
      <c r="A320" s="1">
        <v>319</v>
      </c>
      <c r="B320">
        <v>0.94629604343691565</v>
      </c>
      <c r="C320">
        <f t="shared" si="16"/>
        <v>115.24884837174503</v>
      </c>
      <c r="D320" s="1">
        <f t="shared" si="17"/>
        <v>75</v>
      </c>
      <c r="E320" s="1">
        <f t="shared" si="18"/>
        <v>0</v>
      </c>
      <c r="F320" s="1">
        <f t="shared" si="19"/>
        <v>501</v>
      </c>
    </row>
    <row r="321" spans="1:6" x14ac:dyDescent="0.25">
      <c r="A321" s="1">
        <v>320</v>
      </c>
      <c r="B321">
        <v>0.34854099260734961</v>
      </c>
      <c r="C321">
        <f t="shared" si="16"/>
        <v>65.268437890939623</v>
      </c>
      <c r="D321" s="1">
        <f t="shared" si="17"/>
        <v>65</v>
      </c>
      <c r="E321" s="1">
        <f t="shared" si="18"/>
        <v>10</v>
      </c>
      <c r="F321" s="1">
        <f t="shared" si="19"/>
        <v>430.6</v>
      </c>
    </row>
    <row r="322" spans="1:6" x14ac:dyDescent="0.25">
      <c r="A322" s="1">
        <v>321</v>
      </c>
      <c r="B322">
        <v>0.41386870948199039</v>
      </c>
      <c r="C322">
        <f t="shared" si="16"/>
        <v>69.559892022069761</v>
      </c>
      <c r="D322" s="1">
        <f t="shared" si="17"/>
        <v>70</v>
      </c>
      <c r="E322" s="1">
        <f t="shared" si="18"/>
        <v>5</v>
      </c>
      <c r="F322" s="1">
        <f t="shared" si="19"/>
        <v>465.8</v>
      </c>
    </row>
    <row r="323" spans="1:6" x14ac:dyDescent="0.25">
      <c r="A323" s="1">
        <v>322</v>
      </c>
      <c r="B323">
        <v>0.15299894305641037</v>
      </c>
      <c r="C323">
        <f t="shared" ref="C323:C386" si="20">_xlfn.NORM.INV(B323,75,25)</f>
        <v>49.408605364419678</v>
      </c>
      <c r="D323" s="1">
        <f t="shared" ref="D323:D386" si="21">MIN(ROUND(C323,0),$H$2)</f>
        <v>49</v>
      </c>
      <c r="E323" s="1">
        <f t="shared" ref="E323:E386" si="22">$H$2-D323</f>
        <v>26</v>
      </c>
      <c r="F323" s="1">
        <f t="shared" ref="F323:F386" si="23">7*D323-$H$2/25*8-E323/25*1</f>
        <v>317.95999999999998</v>
      </c>
    </row>
    <row r="324" spans="1:6" x14ac:dyDescent="0.25">
      <c r="A324" s="1">
        <v>323</v>
      </c>
      <c r="B324">
        <v>4.1198701462711318E-2</v>
      </c>
      <c r="C324">
        <f t="shared" si="20"/>
        <v>31.576449141837664</v>
      </c>
      <c r="D324" s="1">
        <f t="shared" si="21"/>
        <v>32</v>
      </c>
      <c r="E324" s="1">
        <f t="shared" si="22"/>
        <v>43</v>
      </c>
      <c r="F324" s="1">
        <f t="shared" si="23"/>
        <v>198.28</v>
      </c>
    </row>
    <row r="325" spans="1:6" x14ac:dyDescent="0.25">
      <c r="A325" s="1">
        <v>324</v>
      </c>
      <c r="B325">
        <v>0.63357666726043604</v>
      </c>
      <c r="C325">
        <f t="shared" si="20"/>
        <v>83.533532315668921</v>
      </c>
      <c r="D325" s="1">
        <f t="shared" si="21"/>
        <v>75</v>
      </c>
      <c r="E325" s="1">
        <f t="shared" si="22"/>
        <v>0</v>
      </c>
      <c r="F325" s="1">
        <f t="shared" si="23"/>
        <v>501</v>
      </c>
    </row>
    <row r="326" spans="1:6" x14ac:dyDescent="0.25">
      <c r="A326" s="1">
        <v>325</v>
      </c>
      <c r="B326">
        <v>0.77770102175076872</v>
      </c>
      <c r="C326">
        <f t="shared" si="20"/>
        <v>94.111298917898139</v>
      </c>
      <c r="D326" s="1">
        <f t="shared" si="21"/>
        <v>75</v>
      </c>
      <c r="E326" s="1">
        <f t="shared" si="22"/>
        <v>0</v>
      </c>
      <c r="F326" s="1">
        <f t="shared" si="23"/>
        <v>501</v>
      </c>
    </row>
    <row r="327" spans="1:6" x14ac:dyDescent="0.25">
      <c r="A327" s="1">
        <v>326</v>
      </c>
      <c r="B327">
        <v>0.76097748143838262</v>
      </c>
      <c r="C327">
        <f t="shared" si="20"/>
        <v>92.736259347546195</v>
      </c>
      <c r="D327" s="1">
        <f t="shared" si="21"/>
        <v>75</v>
      </c>
      <c r="E327" s="1">
        <f t="shared" si="22"/>
        <v>0</v>
      </c>
      <c r="F327" s="1">
        <f t="shared" si="23"/>
        <v>501</v>
      </c>
    </row>
    <row r="328" spans="1:6" x14ac:dyDescent="0.25">
      <c r="A328" s="1">
        <v>327</v>
      </c>
      <c r="B328">
        <v>0.7675842989054944</v>
      </c>
      <c r="C328">
        <f t="shared" si="20"/>
        <v>93.272861538372211</v>
      </c>
      <c r="D328" s="1">
        <f t="shared" si="21"/>
        <v>75</v>
      </c>
      <c r="E328" s="1">
        <f t="shared" si="22"/>
        <v>0</v>
      </c>
      <c r="F328" s="1">
        <f t="shared" si="23"/>
        <v>501</v>
      </c>
    </row>
    <row r="329" spans="1:6" x14ac:dyDescent="0.25">
      <c r="A329" s="1">
        <v>328</v>
      </c>
      <c r="B329">
        <v>0.90251923672147516</v>
      </c>
      <c r="C329">
        <f t="shared" si="20"/>
        <v>107.40101290543757</v>
      </c>
      <c r="D329" s="1">
        <f t="shared" si="21"/>
        <v>75</v>
      </c>
      <c r="E329" s="1">
        <f t="shared" si="22"/>
        <v>0</v>
      </c>
      <c r="F329" s="1">
        <f t="shared" si="23"/>
        <v>501</v>
      </c>
    </row>
    <row r="330" spans="1:6" x14ac:dyDescent="0.25">
      <c r="A330" s="1">
        <v>329</v>
      </c>
      <c r="B330">
        <v>0.481518142147211</v>
      </c>
      <c r="C330">
        <f t="shared" si="20"/>
        <v>73.841406720574412</v>
      </c>
      <c r="D330" s="1">
        <f t="shared" si="21"/>
        <v>74</v>
      </c>
      <c r="E330" s="1">
        <f t="shared" si="22"/>
        <v>1</v>
      </c>
      <c r="F330" s="1">
        <f t="shared" si="23"/>
        <v>493.96</v>
      </c>
    </row>
    <row r="331" spans="1:6" x14ac:dyDescent="0.25">
      <c r="A331" s="1">
        <v>330</v>
      </c>
      <c r="B331">
        <v>0.16718751178429769</v>
      </c>
      <c r="C331">
        <f t="shared" si="20"/>
        <v>50.866523989647682</v>
      </c>
      <c r="D331" s="1">
        <f t="shared" si="21"/>
        <v>51</v>
      </c>
      <c r="E331" s="1">
        <f t="shared" si="22"/>
        <v>24</v>
      </c>
      <c r="F331" s="1">
        <f t="shared" si="23"/>
        <v>332.04</v>
      </c>
    </row>
    <row r="332" spans="1:6" x14ac:dyDescent="0.25">
      <c r="A332" s="1">
        <v>331</v>
      </c>
      <c r="B332">
        <v>0.30720837656764743</v>
      </c>
      <c r="C332">
        <f t="shared" si="20"/>
        <v>62.405527375750452</v>
      </c>
      <c r="D332" s="1">
        <f t="shared" si="21"/>
        <v>62</v>
      </c>
      <c r="E332" s="1">
        <f t="shared" si="22"/>
        <v>13</v>
      </c>
      <c r="F332" s="1">
        <f t="shared" si="23"/>
        <v>409.48</v>
      </c>
    </row>
    <row r="333" spans="1:6" x14ac:dyDescent="0.25">
      <c r="A333" s="1">
        <v>332</v>
      </c>
      <c r="B333">
        <v>0.90677856139867452</v>
      </c>
      <c r="C333">
        <f t="shared" si="20"/>
        <v>108.02938571671422</v>
      </c>
      <c r="D333" s="1">
        <f t="shared" si="21"/>
        <v>75</v>
      </c>
      <c r="E333" s="1">
        <f t="shared" si="22"/>
        <v>0</v>
      </c>
      <c r="F333" s="1">
        <f t="shared" si="23"/>
        <v>501</v>
      </c>
    </row>
    <row r="334" spans="1:6" x14ac:dyDescent="0.25">
      <c r="A334" s="1">
        <v>333</v>
      </c>
      <c r="B334">
        <v>0.45797587893242986</v>
      </c>
      <c r="C334">
        <f t="shared" si="20"/>
        <v>72.361639455891762</v>
      </c>
      <c r="D334" s="1">
        <f t="shared" si="21"/>
        <v>72</v>
      </c>
      <c r="E334" s="1">
        <f t="shared" si="22"/>
        <v>3</v>
      </c>
      <c r="F334" s="1">
        <f t="shared" si="23"/>
        <v>479.88</v>
      </c>
    </row>
    <row r="335" spans="1:6" x14ac:dyDescent="0.25">
      <c r="A335" s="1">
        <v>334</v>
      </c>
      <c r="B335">
        <v>0.8440346444354464</v>
      </c>
      <c r="C335">
        <f t="shared" si="20"/>
        <v>100.27947780744002</v>
      </c>
      <c r="D335" s="1">
        <f t="shared" si="21"/>
        <v>75</v>
      </c>
      <c r="E335" s="1">
        <f t="shared" si="22"/>
        <v>0</v>
      </c>
      <c r="F335" s="1">
        <f t="shared" si="23"/>
        <v>501</v>
      </c>
    </row>
    <row r="336" spans="1:6" x14ac:dyDescent="0.25">
      <c r="A336" s="1">
        <v>335</v>
      </c>
      <c r="B336">
        <v>0.41598743275266303</v>
      </c>
      <c r="C336">
        <f t="shared" si="20"/>
        <v>69.695764582593355</v>
      </c>
      <c r="D336" s="1">
        <f t="shared" si="21"/>
        <v>70</v>
      </c>
      <c r="E336" s="1">
        <f t="shared" si="22"/>
        <v>5</v>
      </c>
      <c r="F336" s="1">
        <f t="shared" si="23"/>
        <v>465.8</v>
      </c>
    </row>
    <row r="337" spans="1:6" x14ac:dyDescent="0.25">
      <c r="A337" s="1">
        <v>336</v>
      </c>
      <c r="B337">
        <v>0.56720776690242158</v>
      </c>
      <c r="C337">
        <f t="shared" si="20"/>
        <v>79.231743827026293</v>
      </c>
      <c r="D337" s="1">
        <f t="shared" si="21"/>
        <v>75</v>
      </c>
      <c r="E337" s="1">
        <f t="shared" si="22"/>
        <v>0</v>
      </c>
      <c r="F337" s="1">
        <f t="shared" si="23"/>
        <v>501</v>
      </c>
    </row>
    <row r="338" spans="1:6" x14ac:dyDescent="0.25">
      <c r="A338" s="1">
        <v>337</v>
      </c>
      <c r="B338">
        <v>0.53879652744940254</v>
      </c>
      <c r="C338">
        <f t="shared" si="20"/>
        <v>77.435056655612613</v>
      </c>
      <c r="D338" s="1">
        <f t="shared" si="21"/>
        <v>75</v>
      </c>
      <c r="E338" s="1">
        <f t="shared" si="22"/>
        <v>0</v>
      </c>
      <c r="F338" s="1">
        <f t="shared" si="23"/>
        <v>501</v>
      </c>
    </row>
    <row r="339" spans="1:6" x14ac:dyDescent="0.25">
      <c r="A339" s="1">
        <v>338</v>
      </c>
      <c r="B339">
        <v>0.20617424740332801</v>
      </c>
      <c r="C339">
        <f t="shared" si="20"/>
        <v>54.505805181896719</v>
      </c>
      <c r="D339" s="1">
        <f t="shared" si="21"/>
        <v>55</v>
      </c>
      <c r="E339" s="1">
        <f t="shared" si="22"/>
        <v>20</v>
      </c>
      <c r="F339" s="1">
        <f t="shared" si="23"/>
        <v>360.2</v>
      </c>
    </row>
    <row r="340" spans="1:6" x14ac:dyDescent="0.25">
      <c r="A340" s="1">
        <v>339</v>
      </c>
      <c r="B340">
        <v>0.58703598915586719</v>
      </c>
      <c r="C340">
        <f t="shared" si="20"/>
        <v>80.498174564102627</v>
      </c>
      <c r="D340" s="1">
        <f t="shared" si="21"/>
        <v>75</v>
      </c>
      <c r="E340" s="1">
        <f t="shared" si="22"/>
        <v>0</v>
      </c>
      <c r="F340" s="1">
        <f t="shared" si="23"/>
        <v>501</v>
      </c>
    </row>
    <row r="341" spans="1:6" x14ac:dyDescent="0.25">
      <c r="A341" s="1">
        <v>340</v>
      </c>
      <c r="B341">
        <v>0.90943431873427272</v>
      </c>
      <c r="C341">
        <f t="shared" si="20"/>
        <v>108.43199190241701</v>
      </c>
      <c r="D341" s="1">
        <f t="shared" si="21"/>
        <v>75</v>
      </c>
      <c r="E341" s="1">
        <f t="shared" si="22"/>
        <v>0</v>
      </c>
      <c r="F341" s="1">
        <f t="shared" si="23"/>
        <v>501</v>
      </c>
    </row>
    <row r="342" spans="1:6" x14ac:dyDescent="0.25">
      <c r="A342" s="1">
        <v>341</v>
      </c>
      <c r="B342">
        <v>0.97618894884623475</v>
      </c>
      <c r="C342">
        <f t="shared" si="20"/>
        <v>124.51812929365457</v>
      </c>
      <c r="D342" s="1">
        <f t="shared" si="21"/>
        <v>75</v>
      </c>
      <c r="E342" s="1">
        <f t="shared" si="22"/>
        <v>0</v>
      </c>
      <c r="F342" s="1">
        <f t="shared" si="23"/>
        <v>501</v>
      </c>
    </row>
    <row r="343" spans="1:6" x14ac:dyDescent="0.25">
      <c r="A343" s="1">
        <v>342</v>
      </c>
      <c r="B343">
        <v>0.48367955723744971</v>
      </c>
      <c r="C343">
        <f t="shared" si="20"/>
        <v>73.976982481842583</v>
      </c>
      <c r="D343" s="1">
        <f t="shared" si="21"/>
        <v>74</v>
      </c>
      <c r="E343" s="1">
        <f t="shared" si="22"/>
        <v>1</v>
      </c>
      <c r="F343" s="1">
        <f t="shared" si="23"/>
        <v>493.96</v>
      </c>
    </row>
    <row r="344" spans="1:6" x14ac:dyDescent="0.25">
      <c r="A344" s="1">
        <v>343</v>
      </c>
      <c r="B344">
        <v>0.74747579743765258</v>
      </c>
      <c r="C344">
        <f t="shared" si="20"/>
        <v>91.664188644522312</v>
      </c>
      <c r="D344" s="1">
        <f t="shared" si="21"/>
        <v>75</v>
      </c>
      <c r="E344" s="1">
        <f t="shared" si="22"/>
        <v>0</v>
      </c>
      <c r="F344" s="1">
        <f t="shared" si="23"/>
        <v>501</v>
      </c>
    </row>
    <row r="345" spans="1:6" x14ac:dyDescent="0.25">
      <c r="A345" s="1">
        <v>344</v>
      </c>
      <c r="B345">
        <v>0.47097488102489005</v>
      </c>
      <c r="C345">
        <f t="shared" si="20"/>
        <v>73.17951277188898</v>
      </c>
      <c r="D345" s="1">
        <f t="shared" si="21"/>
        <v>73</v>
      </c>
      <c r="E345" s="1">
        <f t="shared" si="22"/>
        <v>2</v>
      </c>
      <c r="F345" s="1">
        <f t="shared" si="23"/>
        <v>486.92</v>
      </c>
    </row>
    <row r="346" spans="1:6" x14ac:dyDescent="0.25">
      <c r="A346" s="1">
        <v>345</v>
      </c>
      <c r="B346">
        <v>0.36930664564250371</v>
      </c>
      <c r="C346">
        <f t="shared" si="20"/>
        <v>66.657743207346272</v>
      </c>
      <c r="D346" s="1">
        <f t="shared" si="21"/>
        <v>67</v>
      </c>
      <c r="E346" s="1">
        <f t="shared" si="22"/>
        <v>8</v>
      </c>
      <c r="F346" s="1">
        <f t="shared" si="23"/>
        <v>444.68</v>
      </c>
    </row>
    <row r="347" spans="1:6" x14ac:dyDescent="0.25">
      <c r="A347" s="1">
        <v>346</v>
      </c>
      <c r="B347">
        <v>0.25290578217096338</v>
      </c>
      <c r="C347">
        <f t="shared" si="20"/>
        <v>58.365659927990734</v>
      </c>
      <c r="D347" s="1">
        <f t="shared" si="21"/>
        <v>58</v>
      </c>
      <c r="E347" s="1">
        <f t="shared" si="22"/>
        <v>17</v>
      </c>
      <c r="F347" s="1">
        <f t="shared" si="23"/>
        <v>381.32</v>
      </c>
    </row>
    <row r="348" spans="1:6" x14ac:dyDescent="0.25">
      <c r="A348" s="1">
        <v>347</v>
      </c>
      <c r="B348">
        <v>0.14778236676159251</v>
      </c>
      <c r="C348">
        <f t="shared" si="20"/>
        <v>48.850200408942285</v>
      </c>
      <c r="D348" s="1">
        <f t="shared" si="21"/>
        <v>49</v>
      </c>
      <c r="E348" s="1">
        <f t="shared" si="22"/>
        <v>26</v>
      </c>
      <c r="F348" s="1">
        <f t="shared" si="23"/>
        <v>317.95999999999998</v>
      </c>
    </row>
    <row r="349" spans="1:6" x14ac:dyDescent="0.25">
      <c r="A349" s="1">
        <v>348</v>
      </c>
      <c r="B349">
        <v>0.49807522239233892</v>
      </c>
      <c r="C349">
        <f t="shared" si="20"/>
        <v>74.879381982701844</v>
      </c>
      <c r="D349" s="1">
        <f t="shared" si="21"/>
        <v>75</v>
      </c>
      <c r="E349" s="1">
        <f t="shared" si="22"/>
        <v>0</v>
      </c>
      <c r="F349" s="1">
        <f t="shared" si="23"/>
        <v>501</v>
      </c>
    </row>
    <row r="350" spans="1:6" x14ac:dyDescent="0.25">
      <c r="A350" s="1">
        <v>349</v>
      </c>
      <c r="B350">
        <v>0.39848971978562919</v>
      </c>
      <c r="C350">
        <f t="shared" si="20"/>
        <v>68.568544394019625</v>
      </c>
      <c r="D350" s="1">
        <f t="shared" si="21"/>
        <v>69</v>
      </c>
      <c r="E350" s="1">
        <f t="shared" si="22"/>
        <v>6</v>
      </c>
      <c r="F350" s="1">
        <f t="shared" si="23"/>
        <v>458.76</v>
      </c>
    </row>
    <row r="351" spans="1:6" x14ac:dyDescent="0.25">
      <c r="A351" s="1">
        <v>350</v>
      </c>
      <c r="B351">
        <v>0.28484922491598275</v>
      </c>
      <c r="C351">
        <f t="shared" si="20"/>
        <v>60.787608426835092</v>
      </c>
      <c r="D351" s="1">
        <f t="shared" si="21"/>
        <v>61</v>
      </c>
      <c r="E351" s="1">
        <f t="shared" si="22"/>
        <v>14</v>
      </c>
      <c r="F351" s="1">
        <f t="shared" si="23"/>
        <v>402.44</v>
      </c>
    </row>
    <row r="352" spans="1:6" x14ac:dyDescent="0.25">
      <c r="A352" s="1">
        <v>351</v>
      </c>
      <c r="B352">
        <v>0.32051605812570394</v>
      </c>
      <c r="C352">
        <f t="shared" si="20"/>
        <v>63.343594650042256</v>
      </c>
      <c r="D352" s="1">
        <f t="shared" si="21"/>
        <v>63</v>
      </c>
      <c r="E352" s="1">
        <f t="shared" si="22"/>
        <v>12</v>
      </c>
      <c r="F352" s="1">
        <f t="shared" si="23"/>
        <v>416.52</v>
      </c>
    </row>
    <row r="353" spans="1:6" x14ac:dyDescent="0.25">
      <c r="A353" s="1">
        <v>352</v>
      </c>
      <c r="B353">
        <v>0.81619359477439501</v>
      </c>
      <c r="C353">
        <f t="shared" si="20"/>
        <v>97.523848474352235</v>
      </c>
      <c r="D353" s="1">
        <f t="shared" si="21"/>
        <v>75</v>
      </c>
      <c r="E353" s="1">
        <f t="shared" si="22"/>
        <v>0</v>
      </c>
      <c r="F353" s="1">
        <f t="shared" si="23"/>
        <v>501</v>
      </c>
    </row>
    <row r="354" spans="1:6" x14ac:dyDescent="0.25">
      <c r="A354" s="1">
        <v>353</v>
      </c>
      <c r="B354">
        <v>0.84216791526526902</v>
      </c>
      <c r="C354">
        <f t="shared" si="20"/>
        <v>100.0851935873923</v>
      </c>
      <c r="D354" s="1">
        <f t="shared" si="21"/>
        <v>75</v>
      </c>
      <c r="E354" s="1">
        <f t="shared" si="22"/>
        <v>0</v>
      </c>
      <c r="F354" s="1">
        <f t="shared" si="23"/>
        <v>501</v>
      </c>
    </row>
    <row r="355" spans="1:6" x14ac:dyDescent="0.25">
      <c r="A355" s="1">
        <v>354</v>
      </c>
      <c r="B355">
        <v>0.30525972028684079</v>
      </c>
      <c r="C355">
        <f t="shared" si="20"/>
        <v>62.266696758707525</v>
      </c>
      <c r="D355" s="1">
        <f t="shared" si="21"/>
        <v>62</v>
      </c>
      <c r="E355" s="1">
        <f t="shared" si="22"/>
        <v>13</v>
      </c>
      <c r="F355" s="1">
        <f t="shared" si="23"/>
        <v>409.48</v>
      </c>
    </row>
    <row r="356" spans="1:6" x14ac:dyDescent="0.25">
      <c r="A356" s="1">
        <v>355</v>
      </c>
      <c r="B356">
        <v>8.5471471668134735E-2</v>
      </c>
      <c r="C356">
        <f t="shared" si="20"/>
        <v>40.770494175206764</v>
      </c>
      <c r="D356" s="1">
        <f t="shared" si="21"/>
        <v>41</v>
      </c>
      <c r="E356" s="1">
        <f t="shared" si="22"/>
        <v>34</v>
      </c>
      <c r="F356" s="1">
        <f t="shared" si="23"/>
        <v>261.64</v>
      </c>
    </row>
    <row r="357" spans="1:6" x14ac:dyDescent="0.25">
      <c r="A357" s="1">
        <v>356</v>
      </c>
      <c r="B357">
        <v>0.61723097561647278</v>
      </c>
      <c r="C357">
        <f t="shared" si="20"/>
        <v>82.455408584815999</v>
      </c>
      <c r="D357" s="1">
        <f t="shared" si="21"/>
        <v>75</v>
      </c>
      <c r="E357" s="1">
        <f t="shared" si="22"/>
        <v>0</v>
      </c>
      <c r="F357" s="1">
        <f t="shared" si="23"/>
        <v>501</v>
      </c>
    </row>
    <row r="358" spans="1:6" x14ac:dyDescent="0.25">
      <c r="A358" s="1">
        <v>357</v>
      </c>
      <c r="B358">
        <v>0.63932729845704972</v>
      </c>
      <c r="C358">
        <f t="shared" si="20"/>
        <v>83.916531751230053</v>
      </c>
      <c r="D358" s="1">
        <f t="shared" si="21"/>
        <v>75</v>
      </c>
      <c r="E358" s="1">
        <f t="shared" si="22"/>
        <v>0</v>
      </c>
      <c r="F358" s="1">
        <f t="shared" si="23"/>
        <v>501</v>
      </c>
    </row>
    <row r="359" spans="1:6" x14ac:dyDescent="0.25">
      <c r="A359" s="1">
        <v>358</v>
      </c>
      <c r="B359">
        <v>2.6286336774117958E-2</v>
      </c>
      <c r="C359">
        <f t="shared" si="20"/>
        <v>26.539637654699163</v>
      </c>
      <c r="D359" s="1">
        <f t="shared" si="21"/>
        <v>27</v>
      </c>
      <c r="E359" s="1">
        <f t="shared" si="22"/>
        <v>48</v>
      </c>
      <c r="F359" s="1">
        <f t="shared" si="23"/>
        <v>163.08000000000001</v>
      </c>
    </row>
    <row r="360" spans="1:6" x14ac:dyDescent="0.25">
      <c r="A360" s="1">
        <v>359</v>
      </c>
      <c r="B360">
        <v>0.26148711335570718</v>
      </c>
      <c r="C360">
        <f t="shared" si="20"/>
        <v>59.030813765696635</v>
      </c>
      <c r="D360" s="1">
        <f t="shared" si="21"/>
        <v>59</v>
      </c>
      <c r="E360" s="1">
        <f t="shared" si="22"/>
        <v>16</v>
      </c>
      <c r="F360" s="1">
        <f t="shared" si="23"/>
        <v>388.36</v>
      </c>
    </row>
    <row r="361" spans="1:6" x14ac:dyDescent="0.25">
      <c r="A361" s="1">
        <v>360</v>
      </c>
      <c r="B361">
        <v>0.14561011823121983</v>
      </c>
      <c r="C361">
        <f t="shared" si="20"/>
        <v>48.613786688949752</v>
      </c>
      <c r="D361" s="1">
        <f t="shared" si="21"/>
        <v>49</v>
      </c>
      <c r="E361" s="1">
        <f t="shared" si="22"/>
        <v>26</v>
      </c>
      <c r="F361" s="1">
        <f t="shared" si="23"/>
        <v>317.95999999999998</v>
      </c>
    </row>
    <row r="362" spans="1:6" x14ac:dyDescent="0.25">
      <c r="A362" s="1">
        <v>361</v>
      </c>
      <c r="B362">
        <v>0.53935453838672276</v>
      </c>
      <c r="C362">
        <f t="shared" si="20"/>
        <v>77.470193490933141</v>
      </c>
      <c r="D362" s="1">
        <f t="shared" si="21"/>
        <v>75</v>
      </c>
      <c r="E362" s="1">
        <f t="shared" si="22"/>
        <v>0</v>
      </c>
      <c r="F362" s="1">
        <f t="shared" si="23"/>
        <v>501</v>
      </c>
    </row>
    <row r="363" spans="1:6" x14ac:dyDescent="0.25">
      <c r="A363" s="1">
        <v>362</v>
      </c>
      <c r="B363">
        <v>0.99864222962343607</v>
      </c>
      <c r="C363">
        <f t="shared" si="20"/>
        <v>149.9557100846086</v>
      </c>
      <c r="D363" s="1">
        <f t="shared" si="21"/>
        <v>75</v>
      </c>
      <c r="E363" s="1">
        <f t="shared" si="22"/>
        <v>0</v>
      </c>
      <c r="F363" s="1">
        <f t="shared" si="23"/>
        <v>501</v>
      </c>
    </row>
    <row r="364" spans="1:6" x14ac:dyDescent="0.25">
      <c r="A364" s="1">
        <v>363</v>
      </c>
      <c r="B364">
        <v>0.52413540601502617</v>
      </c>
      <c r="C364">
        <f t="shared" si="20"/>
        <v>76.513386081180059</v>
      </c>
      <c r="D364" s="1">
        <f t="shared" si="21"/>
        <v>75</v>
      </c>
      <c r="E364" s="1">
        <f t="shared" si="22"/>
        <v>0</v>
      </c>
      <c r="F364" s="1">
        <f t="shared" si="23"/>
        <v>501</v>
      </c>
    </row>
    <row r="365" spans="1:6" x14ac:dyDescent="0.25">
      <c r="A365" s="1">
        <v>364</v>
      </c>
      <c r="B365">
        <v>0.3707069970383976</v>
      </c>
      <c r="C365">
        <f t="shared" si="20"/>
        <v>66.750464263167686</v>
      </c>
      <c r="D365" s="1">
        <f t="shared" si="21"/>
        <v>67</v>
      </c>
      <c r="E365" s="1">
        <f t="shared" si="22"/>
        <v>8</v>
      </c>
      <c r="F365" s="1">
        <f t="shared" si="23"/>
        <v>444.68</v>
      </c>
    </row>
    <row r="366" spans="1:6" x14ac:dyDescent="0.25">
      <c r="A366" s="1">
        <v>365</v>
      </c>
      <c r="B366">
        <v>0.66970212633465376</v>
      </c>
      <c r="C366">
        <f t="shared" si="20"/>
        <v>85.977269920796914</v>
      </c>
      <c r="D366" s="1">
        <f t="shared" si="21"/>
        <v>75</v>
      </c>
      <c r="E366" s="1">
        <f t="shared" si="22"/>
        <v>0</v>
      </c>
      <c r="F366" s="1">
        <f t="shared" si="23"/>
        <v>501</v>
      </c>
    </row>
    <row r="367" spans="1:6" x14ac:dyDescent="0.25">
      <c r="A367" s="1">
        <v>366</v>
      </c>
      <c r="B367">
        <v>0.34567056252940154</v>
      </c>
      <c r="C367">
        <f t="shared" si="20"/>
        <v>65.074107168006776</v>
      </c>
      <c r="D367" s="1">
        <f t="shared" si="21"/>
        <v>65</v>
      </c>
      <c r="E367" s="1">
        <f t="shared" si="22"/>
        <v>10</v>
      </c>
      <c r="F367" s="1">
        <f t="shared" si="23"/>
        <v>430.6</v>
      </c>
    </row>
    <row r="368" spans="1:6" x14ac:dyDescent="0.25">
      <c r="A368" s="1">
        <v>367</v>
      </c>
      <c r="B368">
        <v>0.63115838224646226</v>
      </c>
      <c r="C368">
        <f t="shared" si="20"/>
        <v>83.373072882913945</v>
      </c>
      <c r="D368" s="1">
        <f t="shared" si="21"/>
        <v>75</v>
      </c>
      <c r="E368" s="1">
        <f t="shared" si="22"/>
        <v>0</v>
      </c>
      <c r="F368" s="1">
        <f t="shared" si="23"/>
        <v>501</v>
      </c>
    </row>
    <row r="369" spans="1:6" x14ac:dyDescent="0.25">
      <c r="A369" s="1">
        <v>368</v>
      </c>
      <c r="B369">
        <v>0.74070581116598178</v>
      </c>
      <c r="C369">
        <f t="shared" si="20"/>
        <v>91.138072709005201</v>
      </c>
      <c r="D369" s="1">
        <f t="shared" si="21"/>
        <v>75</v>
      </c>
      <c r="E369" s="1">
        <f t="shared" si="22"/>
        <v>0</v>
      </c>
      <c r="F369" s="1">
        <f t="shared" si="23"/>
        <v>501</v>
      </c>
    </row>
    <row r="370" spans="1:6" x14ac:dyDescent="0.25">
      <c r="A370" s="1">
        <v>369</v>
      </c>
      <c r="B370">
        <v>0.16498126112243339</v>
      </c>
      <c r="C370">
        <f t="shared" si="20"/>
        <v>50.645265777452167</v>
      </c>
      <c r="D370" s="1">
        <f t="shared" si="21"/>
        <v>51</v>
      </c>
      <c r="E370" s="1">
        <f t="shared" si="22"/>
        <v>24</v>
      </c>
      <c r="F370" s="1">
        <f t="shared" si="23"/>
        <v>332.04</v>
      </c>
    </row>
    <row r="371" spans="1:6" x14ac:dyDescent="0.25">
      <c r="A371" s="1">
        <v>370</v>
      </c>
      <c r="B371">
        <v>0.84062985393623124</v>
      </c>
      <c r="C371">
        <f t="shared" si="20"/>
        <v>99.926247360627855</v>
      </c>
      <c r="D371" s="1">
        <f t="shared" si="21"/>
        <v>75</v>
      </c>
      <c r="E371" s="1">
        <f t="shared" si="22"/>
        <v>0</v>
      </c>
      <c r="F371" s="1">
        <f t="shared" si="23"/>
        <v>501</v>
      </c>
    </row>
    <row r="372" spans="1:6" x14ac:dyDescent="0.25">
      <c r="A372" s="1">
        <v>371</v>
      </c>
      <c r="B372">
        <v>0.81105266264392506</v>
      </c>
      <c r="C372">
        <f t="shared" si="20"/>
        <v>97.044551510480531</v>
      </c>
      <c r="D372" s="1">
        <f t="shared" si="21"/>
        <v>75</v>
      </c>
      <c r="E372" s="1">
        <f t="shared" si="22"/>
        <v>0</v>
      </c>
      <c r="F372" s="1">
        <f t="shared" si="23"/>
        <v>501</v>
      </c>
    </row>
    <row r="373" spans="1:6" x14ac:dyDescent="0.25">
      <c r="A373" s="1">
        <v>372</v>
      </c>
      <c r="B373">
        <v>0.14606839427041818</v>
      </c>
      <c r="C373">
        <f t="shared" si="20"/>
        <v>48.6638585956333</v>
      </c>
      <c r="D373" s="1">
        <f t="shared" si="21"/>
        <v>49</v>
      </c>
      <c r="E373" s="1">
        <f t="shared" si="22"/>
        <v>26</v>
      </c>
      <c r="F373" s="1">
        <f t="shared" si="23"/>
        <v>317.95999999999998</v>
      </c>
    </row>
    <row r="374" spans="1:6" x14ac:dyDescent="0.25">
      <c r="A374" s="1">
        <v>373</v>
      </c>
      <c r="B374">
        <v>0.91487379579066919</v>
      </c>
      <c r="C374">
        <f t="shared" si="20"/>
        <v>109.28483061639807</v>
      </c>
      <c r="D374" s="1">
        <f t="shared" si="21"/>
        <v>75</v>
      </c>
      <c r="E374" s="1">
        <f t="shared" si="22"/>
        <v>0</v>
      </c>
      <c r="F374" s="1">
        <f t="shared" si="23"/>
        <v>501</v>
      </c>
    </row>
    <row r="375" spans="1:6" x14ac:dyDescent="0.25">
      <c r="A375" s="1">
        <v>374</v>
      </c>
      <c r="B375">
        <v>0.62326683772843439</v>
      </c>
      <c r="C375">
        <f t="shared" si="20"/>
        <v>82.851801005083914</v>
      </c>
      <c r="D375" s="1">
        <f t="shared" si="21"/>
        <v>75</v>
      </c>
      <c r="E375" s="1">
        <f t="shared" si="22"/>
        <v>0</v>
      </c>
      <c r="F375" s="1">
        <f t="shared" si="23"/>
        <v>501</v>
      </c>
    </row>
    <row r="376" spans="1:6" x14ac:dyDescent="0.25">
      <c r="A376" s="1">
        <v>375</v>
      </c>
      <c r="B376">
        <v>3.2747828888346153E-2</v>
      </c>
      <c r="C376">
        <f t="shared" si="20"/>
        <v>28.953504595260654</v>
      </c>
      <c r="D376" s="1">
        <f t="shared" si="21"/>
        <v>29</v>
      </c>
      <c r="E376" s="1">
        <f t="shared" si="22"/>
        <v>46</v>
      </c>
      <c r="F376" s="1">
        <f t="shared" si="23"/>
        <v>177.16</v>
      </c>
    </row>
    <row r="377" spans="1:6" x14ac:dyDescent="0.25">
      <c r="A377" s="1">
        <v>376</v>
      </c>
      <c r="B377">
        <v>0.42571291907412279</v>
      </c>
      <c r="C377">
        <f t="shared" si="20"/>
        <v>70.317513238388855</v>
      </c>
      <c r="D377" s="1">
        <f t="shared" si="21"/>
        <v>70</v>
      </c>
      <c r="E377" s="1">
        <f t="shared" si="22"/>
        <v>5</v>
      </c>
      <c r="F377" s="1">
        <f t="shared" si="23"/>
        <v>465.8</v>
      </c>
    </row>
    <row r="378" spans="1:6" x14ac:dyDescent="0.25">
      <c r="A378" s="1">
        <v>377</v>
      </c>
      <c r="B378">
        <v>0.68320797873602834</v>
      </c>
      <c r="C378">
        <f t="shared" si="20"/>
        <v>86.917209359660546</v>
      </c>
      <c r="D378" s="1">
        <f t="shared" si="21"/>
        <v>75</v>
      </c>
      <c r="E378" s="1">
        <f t="shared" si="22"/>
        <v>0</v>
      </c>
      <c r="F378" s="1">
        <f t="shared" si="23"/>
        <v>501</v>
      </c>
    </row>
    <row r="379" spans="1:6" x14ac:dyDescent="0.25">
      <c r="A379" s="1">
        <v>378</v>
      </c>
      <c r="B379">
        <v>0.69381710450264533</v>
      </c>
      <c r="C379">
        <f t="shared" si="20"/>
        <v>87.667483597512245</v>
      </c>
      <c r="D379" s="1">
        <f t="shared" si="21"/>
        <v>75</v>
      </c>
      <c r="E379" s="1">
        <f t="shared" si="22"/>
        <v>0</v>
      </c>
      <c r="F379" s="1">
        <f t="shared" si="23"/>
        <v>501</v>
      </c>
    </row>
    <row r="380" spans="1:6" x14ac:dyDescent="0.25">
      <c r="A380" s="1">
        <v>379</v>
      </c>
      <c r="B380">
        <v>0.1792292663805074</v>
      </c>
      <c r="C380">
        <f t="shared" si="20"/>
        <v>52.042342634328278</v>
      </c>
      <c r="D380" s="1">
        <f t="shared" si="21"/>
        <v>52</v>
      </c>
      <c r="E380" s="1">
        <f t="shared" si="22"/>
        <v>23</v>
      </c>
      <c r="F380" s="1">
        <f t="shared" si="23"/>
        <v>339.08</v>
      </c>
    </row>
    <row r="381" spans="1:6" x14ac:dyDescent="0.25">
      <c r="A381" s="1">
        <v>380</v>
      </c>
      <c r="B381">
        <v>0.8811934940681504</v>
      </c>
      <c r="C381">
        <f t="shared" si="20"/>
        <v>104.52435253486455</v>
      </c>
      <c r="D381" s="1">
        <f t="shared" si="21"/>
        <v>75</v>
      </c>
      <c r="E381" s="1">
        <f t="shared" si="22"/>
        <v>0</v>
      </c>
      <c r="F381" s="1">
        <f t="shared" si="23"/>
        <v>501</v>
      </c>
    </row>
    <row r="382" spans="1:6" x14ac:dyDescent="0.25">
      <c r="A382" s="1">
        <v>381</v>
      </c>
      <c r="B382">
        <v>0.85659686834864335</v>
      </c>
      <c r="C382">
        <f t="shared" si="20"/>
        <v>101.62884904571214</v>
      </c>
      <c r="D382" s="1">
        <f t="shared" si="21"/>
        <v>75</v>
      </c>
      <c r="E382" s="1">
        <f t="shared" si="22"/>
        <v>0</v>
      </c>
      <c r="F382" s="1">
        <f t="shared" si="23"/>
        <v>501</v>
      </c>
    </row>
    <row r="383" spans="1:6" x14ac:dyDescent="0.25">
      <c r="A383" s="1">
        <v>382</v>
      </c>
      <c r="B383">
        <v>6.0328419286279744E-2</v>
      </c>
      <c r="C383">
        <f t="shared" si="20"/>
        <v>36.199437348426059</v>
      </c>
      <c r="D383" s="1">
        <f t="shared" si="21"/>
        <v>36</v>
      </c>
      <c r="E383" s="1">
        <f t="shared" si="22"/>
        <v>39</v>
      </c>
      <c r="F383" s="1">
        <f t="shared" si="23"/>
        <v>226.44</v>
      </c>
    </row>
    <row r="384" spans="1:6" x14ac:dyDescent="0.25">
      <c r="A384" s="1">
        <v>383</v>
      </c>
      <c r="B384">
        <v>0.98427788500140967</v>
      </c>
      <c r="C384">
        <f t="shared" si="20"/>
        <v>128.78513035502212</v>
      </c>
      <c r="D384" s="1">
        <f t="shared" si="21"/>
        <v>75</v>
      </c>
      <c r="E384" s="1">
        <f t="shared" si="22"/>
        <v>0</v>
      </c>
      <c r="F384" s="1">
        <f t="shared" si="23"/>
        <v>501</v>
      </c>
    </row>
    <row r="385" spans="1:6" x14ac:dyDescent="0.25">
      <c r="A385" s="1">
        <v>384</v>
      </c>
      <c r="B385">
        <v>0.57942034471881076</v>
      </c>
      <c r="C385">
        <f t="shared" si="20"/>
        <v>80.010270098748293</v>
      </c>
      <c r="D385" s="1">
        <f t="shared" si="21"/>
        <v>75</v>
      </c>
      <c r="E385" s="1">
        <f t="shared" si="22"/>
        <v>0</v>
      </c>
      <c r="F385" s="1">
        <f t="shared" si="23"/>
        <v>501</v>
      </c>
    </row>
    <row r="386" spans="1:6" x14ac:dyDescent="0.25">
      <c r="A386" s="1">
        <v>385</v>
      </c>
      <c r="B386">
        <v>2.6247592584459079E-2</v>
      </c>
      <c r="C386">
        <f t="shared" si="20"/>
        <v>26.52373665927216</v>
      </c>
      <c r="D386" s="1">
        <f t="shared" si="21"/>
        <v>27</v>
      </c>
      <c r="E386" s="1">
        <f t="shared" si="22"/>
        <v>48</v>
      </c>
      <c r="F386" s="1">
        <f t="shared" si="23"/>
        <v>163.08000000000001</v>
      </c>
    </row>
    <row r="387" spans="1:6" x14ac:dyDescent="0.25">
      <c r="A387" s="1">
        <v>386</v>
      </c>
      <c r="B387">
        <v>0.64751839248830556</v>
      </c>
      <c r="C387">
        <f t="shared" ref="C387:C450" si="24">_xlfn.NORM.INV(B387,75,25)</f>
        <v>84.465730685192014</v>
      </c>
      <c r="D387" s="1">
        <f t="shared" ref="D387:D450" si="25">MIN(ROUND(C387,0),$H$2)</f>
        <v>75</v>
      </c>
      <c r="E387" s="1">
        <f t="shared" ref="E387:E450" si="26">$H$2-D387</f>
        <v>0</v>
      </c>
      <c r="F387" s="1">
        <f t="shared" ref="F387:F450" si="27">7*D387-$H$2/25*8-E387/25*1</f>
        <v>501</v>
      </c>
    </row>
    <row r="388" spans="1:6" x14ac:dyDescent="0.25">
      <c r="A388" s="1">
        <v>387</v>
      </c>
      <c r="B388">
        <v>0.12149536750527556</v>
      </c>
      <c r="C388">
        <f t="shared" si="24"/>
        <v>45.811399061148123</v>
      </c>
      <c r="D388" s="1">
        <f t="shared" si="25"/>
        <v>46</v>
      </c>
      <c r="E388" s="1">
        <f t="shared" si="26"/>
        <v>29</v>
      </c>
      <c r="F388" s="1">
        <f t="shared" si="27"/>
        <v>296.83999999999997</v>
      </c>
    </row>
    <row r="389" spans="1:6" x14ac:dyDescent="0.25">
      <c r="A389" s="1">
        <v>388</v>
      </c>
      <c r="B389">
        <v>0.28772497800664532</v>
      </c>
      <c r="C389">
        <f t="shared" si="24"/>
        <v>60.998919425097839</v>
      </c>
      <c r="D389" s="1">
        <f t="shared" si="25"/>
        <v>61</v>
      </c>
      <c r="E389" s="1">
        <f t="shared" si="26"/>
        <v>14</v>
      </c>
      <c r="F389" s="1">
        <f t="shared" si="27"/>
        <v>402.44</v>
      </c>
    </row>
    <row r="390" spans="1:6" x14ac:dyDescent="0.25">
      <c r="A390" s="1">
        <v>389</v>
      </c>
      <c r="B390">
        <v>0.79680176082917054</v>
      </c>
      <c r="C390">
        <f t="shared" si="24"/>
        <v>95.756293020881913</v>
      </c>
      <c r="D390" s="1">
        <f t="shared" si="25"/>
        <v>75</v>
      </c>
      <c r="E390" s="1">
        <f t="shared" si="26"/>
        <v>0</v>
      </c>
      <c r="F390" s="1">
        <f t="shared" si="27"/>
        <v>501</v>
      </c>
    </row>
    <row r="391" spans="1:6" x14ac:dyDescent="0.25">
      <c r="A391" s="1">
        <v>390</v>
      </c>
      <c r="B391">
        <v>0.35131575524461989</v>
      </c>
      <c r="C391">
        <f t="shared" si="24"/>
        <v>65.455734417262889</v>
      </c>
      <c r="D391" s="1">
        <f t="shared" si="25"/>
        <v>65</v>
      </c>
      <c r="E391" s="1">
        <f t="shared" si="26"/>
        <v>10</v>
      </c>
      <c r="F391" s="1">
        <f t="shared" si="27"/>
        <v>430.6</v>
      </c>
    </row>
    <row r="392" spans="1:6" x14ac:dyDescent="0.25">
      <c r="A392" s="1">
        <v>391</v>
      </c>
      <c r="B392">
        <v>0.85142244966156821</v>
      </c>
      <c r="C392">
        <f t="shared" si="24"/>
        <v>101.06383935180284</v>
      </c>
      <c r="D392" s="1">
        <f t="shared" si="25"/>
        <v>75</v>
      </c>
      <c r="E392" s="1">
        <f t="shared" si="26"/>
        <v>0</v>
      </c>
      <c r="F392" s="1">
        <f t="shared" si="27"/>
        <v>501</v>
      </c>
    </row>
    <row r="393" spans="1:6" x14ac:dyDescent="0.25">
      <c r="A393" s="1">
        <v>392</v>
      </c>
      <c r="B393">
        <v>0.71322302209894839</v>
      </c>
      <c r="C393">
        <f t="shared" si="24"/>
        <v>89.070628639131499</v>
      </c>
      <c r="D393" s="1">
        <f t="shared" si="25"/>
        <v>75</v>
      </c>
      <c r="E393" s="1">
        <f t="shared" si="26"/>
        <v>0</v>
      </c>
      <c r="F393" s="1">
        <f t="shared" si="27"/>
        <v>501</v>
      </c>
    </row>
    <row r="394" spans="1:6" x14ac:dyDescent="0.25">
      <c r="A394" s="1">
        <v>393</v>
      </c>
      <c r="B394">
        <v>0.79546417707148342</v>
      </c>
      <c r="C394">
        <f t="shared" si="24"/>
        <v>95.638210883525517</v>
      </c>
      <c r="D394" s="1">
        <f t="shared" si="25"/>
        <v>75</v>
      </c>
      <c r="E394" s="1">
        <f t="shared" si="26"/>
        <v>0</v>
      </c>
      <c r="F394" s="1">
        <f t="shared" si="27"/>
        <v>501</v>
      </c>
    </row>
    <row r="395" spans="1:6" x14ac:dyDescent="0.25">
      <c r="A395" s="1">
        <v>394</v>
      </c>
      <c r="B395">
        <v>0.86754986569086734</v>
      </c>
      <c r="C395">
        <f t="shared" si="24"/>
        <v>102.87209214497375</v>
      </c>
      <c r="D395" s="1">
        <f t="shared" si="25"/>
        <v>75</v>
      </c>
      <c r="E395" s="1">
        <f t="shared" si="26"/>
        <v>0</v>
      </c>
      <c r="F395" s="1">
        <f t="shared" si="27"/>
        <v>501</v>
      </c>
    </row>
    <row r="396" spans="1:6" x14ac:dyDescent="0.25">
      <c r="A396" s="1">
        <v>395</v>
      </c>
      <c r="B396">
        <v>0.39258348965791812</v>
      </c>
      <c r="C396">
        <f t="shared" si="24"/>
        <v>68.185203808177931</v>
      </c>
      <c r="D396" s="1">
        <f t="shared" si="25"/>
        <v>68</v>
      </c>
      <c r="E396" s="1">
        <f t="shared" si="26"/>
        <v>7</v>
      </c>
      <c r="F396" s="1">
        <f t="shared" si="27"/>
        <v>451.72</v>
      </c>
    </row>
    <row r="397" spans="1:6" x14ac:dyDescent="0.25">
      <c r="A397" s="1">
        <v>396</v>
      </c>
      <c r="B397">
        <v>0.44126158701402385</v>
      </c>
      <c r="C397">
        <f t="shared" si="24"/>
        <v>71.30571477925352</v>
      </c>
      <c r="D397" s="1">
        <f t="shared" si="25"/>
        <v>71</v>
      </c>
      <c r="E397" s="1">
        <f t="shared" si="26"/>
        <v>4</v>
      </c>
      <c r="F397" s="1">
        <f t="shared" si="27"/>
        <v>472.84</v>
      </c>
    </row>
    <row r="398" spans="1:6" x14ac:dyDescent="0.25">
      <c r="A398" s="1">
        <v>397</v>
      </c>
      <c r="B398">
        <v>0.20021854699534414</v>
      </c>
      <c r="C398">
        <f t="shared" si="24"/>
        <v>53.978978533273477</v>
      </c>
      <c r="D398" s="1">
        <f t="shared" si="25"/>
        <v>54</v>
      </c>
      <c r="E398" s="1">
        <f t="shared" si="26"/>
        <v>21</v>
      </c>
      <c r="F398" s="1">
        <f t="shared" si="27"/>
        <v>353.16</v>
      </c>
    </row>
    <row r="399" spans="1:6" x14ac:dyDescent="0.25">
      <c r="A399" s="1">
        <v>398</v>
      </c>
      <c r="B399">
        <v>0.50353602555513088</v>
      </c>
      <c r="C399">
        <f t="shared" si="24"/>
        <v>75.221590442368395</v>
      </c>
      <c r="D399" s="1">
        <f t="shared" si="25"/>
        <v>75</v>
      </c>
      <c r="E399" s="1">
        <f t="shared" si="26"/>
        <v>0</v>
      </c>
      <c r="F399" s="1">
        <f t="shared" si="27"/>
        <v>501</v>
      </c>
    </row>
    <row r="400" spans="1:6" x14ac:dyDescent="0.25">
      <c r="A400" s="1">
        <v>399</v>
      </c>
      <c r="B400">
        <v>0.25366521124626562</v>
      </c>
      <c r="C400">
        <f t="shared" si="24"/>
        <v>58.424994863626779</v>
      </c>
      <c r="D400" s="1">
        <f t="shared" si="25"/>
        <v>58</v>
      </c>
      <c r="E400" s="1">
        <f t="shared" si="26"/>
        <v>17</v>
      </c>
      <c r="F400" s="1">
        <f t="shared" si="27"/>
        <v>381.32</v>
      </c>
    </row>
    <row r="401" spans="1:6" x14ac:dyDescent="0.25">
      <c r="A401" s="1">
        <v>400</v>
      </c>
      <c r="B401">
        <v>0.23748703873037502</v>
      </c>
      <c r="C401">
        <f t="shared" si="24"/>
        <v>57.139765661206567</v>
      </c>
      <c r="D401" s="1">
        <f t="shared" si="25"/>
        <v>57</v>
      </c>
      <c r="E401" s="1">
        <f t="shared" si="26"/>
        <v>18</v>
      </c>
      <c r="F401" s="1">
        <f t="shared" si="27"/>
        <v>374.28</v>
      </c>
    </row>
    <row r="402" spans="1:6" x14ac:dyDescent="0.25">
      <c r="A402" s="1">
        <v>401</v>
      </c>
      <c r="B402">
        <v>0.68369168626047083</v>
      </c>
      <c r="C402">
        <f t="shared" si="24"/>
        <v>86.951179420420317</v>
      </c>
      <c r="D402" s="1">
        <f t="shared" si="25"/>
        <v>75</v>
      </c>
      <c r="E402" s="1">
        <f t="shared" si="26"/>
        <v>0</v>
      </c>
      <c r="F402" s="1">
        <f t="shared" si="27"/>
        <v>501</v>
      </c>
    </row>
    <row r="403" spans="1:6" x14ac:dyDescent="0.25">
      <c r="A403" s="1">
        <v>402</v>
      </c>
      <c r="B403">
        <v>0.49665276666350833</v>
      </c>
      <c r="C403">
        <f t="shared" si="24"/>
        <v>74.790240795835587</v>
      </c>
      <c r="D403" s="1">
        <f t="shared" si="25"/>
        <v>75</v>
      </c>
      <c r="E403" s="1">
        <f t="shared" si="26"/>
        <v>0</v>
      </c>
      <c r="F403" s="1">
        <f t="shared" si="27"/>
        <v>501</v>
      </c>
    </row>
    <row r="404" spans="1:6" x14ac:dyDescent="0.25">
      <c r="A404" s="1">
        <v>403</v>
      </c>
      <c r="B404">
        <v>0.23145890685122095</v>
      </c>
      <c r="C404">
        <f t="shared" si="24"/>
        <v>56.648731476756097</v>
      </c>
      <c r="D404" s="1">
        <f t="shared" si="25"/>
        <v>57</v>
      </c>
      <c r="E404" s="1">
        <f t="shared" si="26"/>
        <v>18</v>
      </c>
      <c r="F404" s="1">
        <f t="shared" si="27"/>
        <v>374.28</v>
      </c>
    </row>
    <row r="405" spans="1:6" x14ac:dyDescent="0.25">
      <c r="A405" s="1">
        <v>404</v>
      </c>
      <c r="B405">
        <v>3.9219112501267639E-2</v>
      </c>
      <c r="C405">
        <f t="shared" si="24"/>
        <v>31.004484390747443</v>
      </c>
      <c r="D405" s="1">
        <f t="shared" si="25"/>
        <v>31</v>
      </c>
      <c r="E405" s="1">
        <f t="shared" si="26"/>
        <v>44</v>
      </c>
      <c r="F405" s="1">
        <f t="shared" si="27"/>
        <v>191.24</v>
      </c>
    </row>
    <row r="406" spans="1:6" x14ac:dyDescent="0.25">
      <c r="A406" s="1">
        <v>405</v>
      </c>
      <c r="B406">
        <v>0.96848934296951339</v>
      </c>
      <c r="C406">
        <f t="shared" si="24"/>
        <v>121.47602729927044</v>
      </c>
      <c r="D406" s="1">
        <f t="shared" si="25"/>
        <v>75</v>
      </c>
      <c r="E406" s="1">
        <f t="shared" si="26"/>
        <v>0</v>
      </c>
      <c r="F406" s="1">
        <f t="shared" si="27"/>
        <v>501</v>
      </c>
    </row>
    <row r="407" spans="1:6" x14ac:dyDescent="0.25">
      <c r="A407" s="1">
        <v>406</v>
      </c>
      <c r="B407">
        <v>0.4491988014850874</v>
      </c>
      <c r="C407">
        <f t="shared" si="24"/>
        <v>71.807854207451939</v>
      </c>
      <c r="D407" s="1">
        <f t="shared" si="25"/>
        <v>72</v>
      </c>
      <c r="E407" s="1">
        <f t="shared" si="26"/>
        <v>3</v>
      </c>
      <c r="F407" s="1">
        <f t="shared" si="27"/>
        <v>479.88</v>
      </c>
    </row>
    <row r="408" spans="1:6" x14ac:dyDescent="0.25">
      <c r="A408" s="1">
        <v>407</v>
      </c>
      <c r="B408">
        <v>0.20436589399037841</v>
      </c>
      <c r="C408">
        <f t="shared" si="24"/>
        <v>54.346813320066303</v>
      </c>
      <c r="D408" s="1">
        <f t="shared" si="25"/>
        <v>54</v>
      </c>
      <c r="E408" s="1">
        <f t="shared" si="26"/>
        <v>21</v>
      </c>
      <c r="F408" s="1">
        <f t="shared" si="27"/>
        <v>353.16</v>
      </c>
    </row>
    <row r="409" spans="1:6" x14ac:dyDescent="0.25">
      <c r="A409" s="1">
        <v>408</v>
      </c>
      <c r="B409">
        <v>0.23127748491504141</v>
      </c>
      <c r="C409">
        <f t="shared" si="24"/>
        <v>56.633844029442898</v>
      </c>
      <c r="D409" s="1">
        <f t="shared" si="25"/>
        <v>57</v>
      </c>
      <c r="E409" s="1">
        <f t="shared" si="26"/>
        <v>18</v>
      </c>
      <c r="F409" s="1">
        <f t="shared" si="27"/>
        <v>374.28</v>
      </c>
    </row>
    <row r="410" spans="1:6" x14ac:dyDescent="0.25">
      <c r="A410" s="1">
        <v>409</v>
      </c>
      <c r="B410">
        <v>7.6251150595978423E-2</v>
      </c>
      <c r="C410">
        <f t="shared" si="24"/>
        <v>39.231286931586887</v>
      </c>
      <c r="D410" s="1">
        <f t="shared" si="25"/>
        <v>39</v>
      </c>
      <c r="E410" s="1">
        <f t="shared" si="26"/>
        <v>36</v>
      </c>
      <c r="F410" s="1">
        <f t="shared" si="27"/>
        <v>247.56</v>
      </c>
    </row>
    <row r="411" spans="1:6" x14ac:dyDescent="0.25">
      <c r="A411" s="1">
        <v>410</v>
      </c>
      <c r="B411">
        <v>0.12866650017196424</v>
      </c>
      <c r="C411">
        <f t="shared" si="24"/>
        <v>46.682068099819176</v>
      </c>
      <c r="D411" s="1">
        <f t="shared" si="25"/>
        <v>47</v>
      </c>
      <c r="E411" s="1">
        <f t="shared" si="26"/>
        <v>28</v>
      </c>
      <c r="F411" s="1">
        <f t="shared" si="27"/>
        <v>303.88</v>
      </c>
    </row>
    <row r="412" spans="1:6" x14ac:dyDescent="0.25">
      <c r="A412" s="1">
        <v>411</v>
      </c>
      <c r="B412">
        <v>0.98758866610866092</v>
      </c>
      <c r="C412">
        <f t="shared" si="24"/>
        <v>131.10378266759236</v>
      </c>
      <c r="D412" s="1">
        <f t="shared" si="25"/>
        <v>75</v>
      </c>
      <c r="E412" s="1">
        <f t="shared" si="26"/>
        <v>0</v>
      </c>
      <c r="F412" s="1">
        <f t="shared" si="27"/>
        <v>501</v>
      </c>
    </row>
    <row r="413" spans="1:6" x14ac:dyDescent="0.25">
      <c r="A413" s="1">
        <v>412</v>
      </c>
      <c r="B413">
        <v>0.56115985335575946</v>
      </c>
      <c r="C413">
        <f t="shared" si="24"/>
        <v>78.847762869825118</v>
      </c>
      <c r="D413" s="1">
        <f t="shared" si="25"/>
        <v>75</v>
      </c>
      <c r="E413" s="1">
        <f t="shared" si="26"/>
        <v>0</v>
      </c>
      <c r="F413" s="1">
        <f t="shared" si="27"/>
        <v>501</v>
      </c>
    </row>
    <row r="414" spans="1:6" x14ac:dyDescent="0.25">
      <c r="A414" s="1">
        <v>413</v>
      </c>
      <c r="B414">
        <v>2.6179618526321224E-2</v>
      </c>
      <c r="C414">
        <f t="shared" si="24"/>
        <v>26.495791962676918</v>
      </c>
      <c r="D414" s="1">
        <f t="shared" si="25"/>
        <v>26</v>
      </c>
      <c r="E414" s="1">
        <f t="shared" si="26"/>
        <v>49</v>
      </c>
      <c r="F414" s="1">
        <f t="shared" si="27"/>
        <v>156.04</v>
      </c>
    </row>
    <row r="415" spans="1:6" x14ac:dyDescent="0.25">
      <c r="A415" s="1">
        <v>414</v>
      </c>
      <c r="B415">
        <v>0.27584147822665106</v>
      </c>
      <c r="C415">
        <f t="shared" si="24"/>
        <v>60.118996273690321</v>
      </c>
      <c r="D415" s="1">
        <f t="shared" si="25"/>
        <v>60</v>
      </c>
      <c r="E415" s="1">
        <f t="shared" si="26"/>
        <v>15</v>
      </c>
      <c r="F415" s="1">
        <f t="shared" si="27"/>
        <v>395.4</v>
      </c>
    </row>
    <row r="416" spans="1:6" x14ac:dyDescent="0.25">
      <c r="A416" s="1">
        <v>415</v>
      </c>
      <c r="B416">
        <v>0.4176890288392201</v>
      </c>
      <c r="C416">
        <f t="shared" si="24"/>
        <v>69.804773483714442</v>
      </c>
      <c r="D416" s="1">
        <f t="shared" si="25"/>
        <v>70</v>
      </c>
      <c r="E416" s="1">
        <f t="shared" si="26"/>
        <v>5</v>
      </c>
      <c r="F416" s="1">
        <f t="shared" si="27"/>
        <v>465.8</v>
      </c>
    </row>
    <row r="417" spans="1:6" x14ac:dyDescent="0.25">
      <c r="A417" s="1">
        <v>416</v>
      </c>
      <c r="B417">
        <v>0.98871780412556431</v>
      </c>
      <c r="C417">
        <f t="shared" si="24"/>
        <v>132.01826564287813</v>
      </c>
      <c r="D417" s="1">
        <f t="shared" si="25"/>
        <v>75</v>
      </c>
      <c r="E417" s="1">
        <f t="shared" si="26"/>
        <v>0</v>
      </c>
      <c r="F417" s="1">
        <f t="shared" si="27"/>
        <v>501</v>
      </c>
    </row>
    <row r="418" spans="1:6" x14ac:dyDescent="0.25">
      <c r="A418" s="1">
        <v>417</v>
      </c>
      <c r="B418">
        <v>0.14963228925826377</v>
      </c>
      <c r="C418">
        <f t="shared" si="24"/>
        <v>49.049705913408459</v>
      </c>
      <c r="D418" s="1">
        <f t="shared" si="25"/>
        <v>49</v>
      </c>
      <c r="E418" s="1">
        <f t="shared" si="26"/>
        <v>26</v>
      </c>
      <c r="F418" s="1">
        <f t="shared" si="27"/>
        <v>317.95999999999998</v>
      </c>
    </row>
    <row r="419" spans="1:6" x14ac:dyDescent="0.25">
      <c r="A419" s="1">
        <v>418</v>
      </c>
      <c r="B419">
        <v>0.75365904739865697</v>
      </c>
      <c r="C419">
        <f t="shared" si="24"/>
        <v>92.151237072350071</v>
      </c>
      <c r="D419" s="1">
        <f t="shared" si="25"/>
        <v>75</v>
      </c>
      <c r="E419" s="1">
        <f t="shared" si="26"/>
        <v>0</v>
      </c>
      <c r="F419" s="1">
        <f t="shared" si="27"/>
        <v>501</v>
      </c>
    </row>
    <row r="420" spans="1:6" x14ac:dyDescent="0.25">
      <c r="A420" s="1">
        <v>419</v>
      </c>
      <c r="B420">
        <v>0.21913608398111761</v>
      </c>
      <c r="C420">
        <f t="shared" si="24"/>
        <v>55.622144428007346</v>
      </c>
      <c r="D420" s="1">
        <f t="shared" si="25"/>
        <v>56</v>
      </c>
      <c r="E420" s="1">
        <f t="shared" si="26"/>
        <v>19</v>
      </c>
      <c r="F420" s="1">
        <f t="shared" si="27"/>
        <v>367.24</v>
      </c>
    </row>
    <row r="421" spans="1:6" x14ac:dyDescent="0.25">
      <c r="A421" s="1">
        <v>420</v>
      </c>
      <c r="B421">
        <v>0.37110101658536532</v>
      </c>
      <c r="C421">
        <f t="shared" si="24"/>
        <v>66.776532865225263</v>
      </c>
      <c r="D421" s="1">
        <f t="shared" si="25"/>
        <v>67</v>
      </c>
      <c r="E421" s="1">
        <f t="shared" si="26"/>
        <v>8</v>
      </c>
      <c r="F421" s="1">
        <f t="shared" si="27"/>
        <v>444.68</v>
      </c>
    </row>
    <row r="422" spans="1:6" x14ac:dyDescent="0.25">
      <c r="A422" s="1">
        <v>421</v>
      </c>
      <c r="B422">
        <v>0.9472431191205406</v>
      </c>
      <c r="C422">
        <f t="shared" si="24"/>
        <v>115.46727529343134</v>
      </c>
      <c r="D422" s="1">
        <f t="shared" si="25"/>
        <v>75</v>
      </c>
      <c r="E422" s="1">
        <f t="shared" si="26"/>
        <v>0</v>
      </c>
      <c r="F422" s="1">
        <f t="shared" si="27"/>
        <v>501</v>
      </c>
    </row>
    <row r="423" spans="1:6" x14ac:dyDescent="0.25">
      <c r="A423" s="1">
        <v>422</v>
      </c>
      <c r="B423">
        <v>8.0608363173155784E-3</v>
      </c>
      <c r="C423">
        <f t="shared" si="24"/>
        <v>14.846266379536289</v>
      </c>
      <c r="D423" s="1">
        <f t="shared" si="25"/>
        <v>15</v>
      </c>
      <c r="E423" s="1">
        <f t="shared" si="26"/>
        <v>60</v>
      </c>
      <c r="F423" s="1">
        <f t="shared" si="27"/>
        <v>78.599999999999994</v>
      </c>
    </row>
    <row r="424" spans="1:6" x14ac:dyDescent="0.25">
      <c r="A424" s="1">
        <v>423</v>
      </c>
      <c r="B424">
        <v>0.85763651627166215</v>
      </c>
      <c r="C424">
        <f t="shared" si="24"/>
        <v>101.74402131636612</v>
      </c>
      <c r="D424" s="1">
        <f t="shared" si="25"/>
        <v>75</v>
      </c>
      <c r="E424" s="1">
        <f t="shared" si="26"/>
        <v>0</v>
      </c>
      <c r="F424" s="1">
        <f t="shared" si="27"/>
        <v>501</v>
      </c>
    </row>
    <row r="425" spans="1:6" x14ac:dyDescent="0.25">
      <c r="A425" s="1">
        <v>424</v>
      </c>
      <c r="B425">
        <v>0.43005067010648523</v>
      </c>
      <c r="C425">
        <f t="shared" si="24"/>
        <v>70.593870895956684</v>
      </c>
      <c r="D425" s="1">
        <f t="shared" si="25"/>
        <v>71</v>
      </c>
      <c r="E425" s="1">
        <f t="shared" si="26"/>
        <v>4</v>
      </c>
      <c r="F425" s="1">
        <f t="shared" si="27"/>
        <v>472.84</v>
      </c>
    </row>
    <row r="426" spans="1:6" x14ac:dyDescent="0.25">
      <c r="A426" s="1">
        <v>425</v>
      </c>
      <c r="B426">
        <v>0.17847451779509216</v>
      </c>
      <c r="C426">
        <f t="shared" si="24"/>
        <v>51.9701445079778</v>
      </c>
      <c r="D426" s="1">
        <f t="shared" si="25"/>
        <v>52</v>
      </c>
      <c r="E426" s="1">
        <f t="shared" si="26"/>
        <v>23</v>
      </c>
      <c r="F426" s="1">
        <f t="shared" si="27"/>
        <v>339.08</v>
      </c>
    </row>
    <row r="427" spans="1:6" x14ac:dyDescent="0.25">
      <c r="A427" s="1">
        <v>426</v>
      </c>
      <c r="B427">
        <v>0.58431765211603848</v>
      </c>
      <c r="C427">
        <f t="shared" si="24"/>
        <v>80.323790594938444</v>
      </c>
      <c r="D427" s="1">
        <f t="shared" si="25"/>
        <v>75</v>
      </c>
      <c r="E427" s="1">
        <f t="shared" si="26"/>
        <v>0</v>
      </c>
      <c r="F427" s="1">
        <f t="shared" si="27"/>
        <v>501</v>
      </c>
    </row>
    <row r="428" spans="1:6" x14ac:dyDescent="0.25">
      <c r="A428" s="1">
        <v>427</v>
      </c>
      <c r="B428">
        <v>0.78164408353859871</v>
      </c>
      <c r="C428">
        <f t="shared" si="24"/>
        <v>94.443944041087093</v>
      </c>
      <c r="D428" s="1">
        <f t="shared" si="25"/>
        <v>75</v>
      </c>
      <c r="E428" s="1">
        <f t="shared" si="26"/>
        <v>0</v>
      </c>
      <c r="F428" s="1">
        <f t="shared" si="27"/>
        <v>501</v>
      </c>
    </row>
    <row r="429" spans="1:6" x14ac:dyDescent="0.25">
      <c r="A429" s="1">
        <v>428</v>
      </c>
      <c r="B429">
        <v>0.76498643700948543</v>
      </c>
      <c r="C429">
        <f t="shared" si="24"/>
        <v>93.060872920708448</v>
      </c>
      <c r="D429" s="1">
        <f t="shared" si="25"/>
        <v>75</v>
      </c>
      <c r="E429" s="1">
        <f t="shared" si="26"/>
        <v>0</v>
      </c>
      <c r="F429" s="1">
        <f t="shared" si="27"/>
        <v>501</v>
      </c>
    </row>
    <row r="430" spans="1:6" x14ac:dyDescent="0.25">
      <c r="A430" s="1">
        <v>429</v>
      </c>
      <c r="B430">
        <v>0.37501373448375164</v>
      </c>
      <c r="C430">
        <f t="shared" si="24"/>
        <v>67.03492139778028</v>
      </c>
      <c r="D430" s="1">
        <f t="shared" si="25"/>
        <v>67</v>
      </c>
      <c r="E430" s="1">
        <f t="shared" si="26"/>
        <v>8</v>
      </c>
      <c r="F430" s="1">
        <f t="shared" si="27"/>
        <v>444.68</v>
      </c>
    </row>
    <row r="431" spans="1:6" x14ac:dyDescent="0.25">
      <c r="A431" s="1">
        <v>430</v>
      </c>
      <c r="B431">
        <v>9.901009537086658E-2</v>
      </c>
      <c r="C431">
        <f t="shared" si="24"/>
        <v>42.819684571483194</v>
      </c>
      <c r="D431" s="1">
        <f t="shared" si="25"/>
        <v>43</v>
      </c>
      <c r="E431" s="1">
        <f t="shared" si="26"/>
        <v>32</v>
      </c>
      <c r="F431" s="1">
        <f t="shared" si="27"/>
        <v>275.72000000000003</v>
      </c>
    </row>
    <row r="432" spans="1:6" x14ac:dyDescent="0.25">
      <c r="A432" s="1">
        <v>431</v>
      </c>
      <c r="B432">
        <v>0.79097183568580487</v>
      </c>
      <c r="C432">
        <f t="shared" si="24"/>
        <v>95.244947984055045</v>
      </c>
      <c r="D432" s="1">
        <f t="shared" si="25"/>
        <v>75</v>
      </c>
      <c r="E432" s="1">
        <f t="shared" si="26"/>
        <v>0</v>
      </c>
      <c r="F432" s="1">
        <f t="shared" si="27"/>
        <v>501</v>
      </c>
    </row>
    <row r="433" spans="1:6" x14ac:dyDescent="0.25">
      <c r="A433" s="1">
        <v>432</v>
      </c>
      <c r="B433">
        <v>0.24109739546099407</v>
      </c>
      <c r="C433">
        <f t="shared" si="24"/>
        <v>57.430577329374358</v>
      </c>
      <c r="D433" s="1">
        <f t="shared" si="25"/>
        <v>57</v>
      </c>
      <c r="E433" s="1">
        <f t="shared" si="26"/>
        <v>18</v>
      </c>
      <c r="F433" s="1">
        <f t="shared" si="27"/>
        <v>374.28</v>
      </c>
    </row>
    <row r="434" spans="1:6" x14ac:dyDescent="0.25">
      <c r="A434" s="1">
        <v>433</v>
      </c>
      <c r="B434">
        <v>0.1613956233706545</v>
      </c>
      <c r="C434">
        <f t="shared" si="24"/>
        <v>50.281544949990227</v>
      </c>
      <c r="D434" s="1">
        <f t="shared" si="25"/>
        <v>50</v>
      </c>
      <c r="E434" s="1">
        <f t="shared" si="26"/>
        <v>25</v>
      </c>
      <c r="F434" s="1">
        <f t="shared" si="27"/>
        <v>325</v>
      </c>
    </row>
    <row r="435" spans="1:6" x14ac:dyDescent="0.25">
      <c r="A435" s="1">
        <v>434</v>
      </c>
      <c r="B435">
        <v>0.30879484528034362</v>
      </c>
      <c r="C435">
        <f t="shared" si="24"/>
        <v>62.518267886389872</v>
      </c>
      <c r="D435" s="1">
        <f t="shared" si="25"/>
        <v>63</v>
      </c>
      <c r="E435" s="1">
        <f t="shared" si="26"/>
        <v>12</v>
      </c>
      <c r="F435" s="1">
        <f t="shared" si="27"/>
        <v>416.52</v>
      </c>
    </row>
    <row r="436" spans="1:6" x14ac:dyDescent="0.25">
      <c r="A436" s="1">
        <v>435</v>
      </c>
      <c r="B436">
        <v>0.54070081760402933</v>
      </c>
      <c r="C436">
        <f t="shared" si="24"/>
        <v>77.554986234737726</v>
      </c>
      <c r="D436" s="1">
        <f t="shared" si="25"/>
        <v>75</v>
      </c>
      <c r="E436" s="1">
        <f t="shared" si="26"/>
        <v>0</v>
      </c>
      <c r="F436" s="1">
        <f t="shared" si="27"/>
        <v>501</v>
      </c>
    </row>
    <row r="437" spans="1:6" x14ac:dyDescent="0.25">
      <c r="A437" s="1">
        <v>436</v>
      </c>
      <c r="B437">
        <v>0.37241823503639837</v>
      </c>
      <c r="C437">
        <f t="shared" si="24"/>
        <v>66.863616243696598</v>
      </c>
      <c r="D437" s="1">
        <f t="shared" si="25"/>
        <v>67</v>
      </c>
      <c r="E437" s="1">
        <f t="shared" si="26"/>
        <v>8</v>
      </c>
      <c r="F437" s="1">
        <f t="shared" si="27"/>
        <v>444.68</v>
      </c>
    </row>
    <row r="438" spans="1:6" x14ac:dyDescent="0.25">
      <c r="A438" s="1">
        <v>437</v>
      </c>
      <c r="B438">
        <v>0.27288932153537404</v>
      </c>
      <c r="C438">
        <f t="shared" si="24"/>
        <v>59.897555787800485</v>
      </c>
      <c r="D438" s="1">
        <f t="shared" si="25"/>
        <v>60</v>
      </c>
      <c r="E438" s="1">
        <f t="shared" si="26"/>
        <v>15</v>
      </c>
      <c r="F438" s="1">
        <f t="shared" si="27"/>
        <v>395.4</v>
      </c>
    </row>
    <row r="439" spans="1:6" x14ac:dyDescent="0.25">
      <c r="A439" s="1">
        <v>438</v>
      </c>
      <c r="B439">
        <v>0.90824342149342985</v>
      </c>
      <c r="C439">
        <f t="shared" si="24"/>
        <v>108.25038806217751</v>
      </c>
      <c r="D439" s="1">
        <f t="shared" si="25"/>
        <v>75</v>
      </c>
      <c r="E439" s="1">
        <f t="shared" si="26"/>
        <v>0</v>
      </c>
      <c r="F439" s="1">
        <f t="shared" si="27"/>
        <v>501</v>
      </c>
    </row>
    <row r="440" spans="1:6" x14ac:dyDescent="0.25">
      <c r="A440" s="1">
        <v>439</v>
      </c>
      <c r="B440">
        <v>0.40352000716623293</v>
      </c>
      <c r="C440">
        <f t="shared" si="24"/>
        <v>68.893840688511929</v>
      </c>
      <c r="D440" s="1">
        <f t="shared" si="25"/>
        <v>69</v>
      </c>
      <c r="E440" s="1">
        <f t="shared" si="26"/>
        <v>6</v>
      </c>
      <c r="F440" s="1">
        <f t="shared" si="27"/>
        <v>458.76</v>
      </c>
    </row>
    <row r="441" spans="1:6" x14ac:dyDescent="0.25">
      <c r="A441" s="1">
        <v>440</v>
      </c>
      <c r="B441">
        <v>0.96844812307758077</v>
      </c>
      <c r="C441">
        <f t="shared" si="24"/>
        <v>121.46149379586659</v>
      </c>
      <c r="D441" s="1">
        <f t="shared" si="25"/>
        <v>75</v>
      </c>
      <c r="E441" s="1">
        <f t="shared" si="26"/>
        <v>0</v>
      </c>
      <c r="F441" s="1">
        <f t="shared" si="27"/>
        <v>501</v>
      </c>
    </row>
    <row r="442" spans="1:6" x14ac:dyDescent="0.25">
      <c r="A442" s="1">
        <v>441</v>
      </c>
      <c r="B442">
        <v>7.6840698985228051E-2</v>
      </c>
      <c r="C442">
        <f t="shared" si="24"/>
        <v>39.33380145403337</v>
      </c>
      <c r="D442" s="1">
        <f t="shared" si="25"/>
        <v>39</v>
      </c>
      <c r="E442" s="1">
        <f t="shared" si="26"/>
        <v>36</v>
      </c>
      <c r="F442" s="1">
        <f t="shared" si="27"/>
        <v>247.56</v>
      </c>
    </row>
    <row r="443" spans="1:6" x14ac:dyDescent="0.25">
      <c r="A443" s="1">
        <v>442</v>
      </c>
      <c r="B443">
        <v>0.367709233905124</v>
      </c>
      <c r="C443">
        <f t="shared" si="24"/>
        <v>66.551833878783995</v>
      </c>
      <c r="D443" s="1">
        <f t="shared" si="25"/>
        <v>67</v>
      </c>
      <c r="E443" s="1">
        <f t="shared" si="26"/>
        <v>8</v>
      </c>
      <c r="F443" s="1">
        <f t="shared" si="27"/>
        <v>444.68</v>
      </c>
    </row>
    <row r="444" spans="1:6" x14ac:dyDescent="0.25">
      <c r="A444" s="1">
        <v>443</v>
      </c>
      <c r="B444">
        <v>0.650951343804822</v>
      </c>
      <c r="C444">
        <f t="shared" si="24"/>
        <v>84.697254268136916</v>
      </c>
      <c r="D444" s="1">
        <f t="shared" si="25"/>
        <v>75</v>
      </c>
      <c r="E444" s="1">
        <f t="shared" si="26"/>
        <v>0</v>
      </c>
      <c r="F444" s="1">
        <f t="shared" si="27"/>
        <v>501</v>
      </c>
    </row>
    <row r="445" spans="1:6" x14ac:dyDescent="0.25">
      <c r="A445" s="1">
        <v>444</v>
      </c>
      <c r="B445">
        <v>0.5904214495432959</v>
      </c>
      <c r="C445">
        <f t="shared" si="24"/>
        <v>80.715730848278682</v>
      </c>
      <c r="D445" s="1">
        <f t="shared" si="25"/>
        <v>75</v>
      </c>
      <c r="E445" s="1">
        <f t="shared" si="26"/>
        <v>0</v>
      </c>
      <c r="F445" s="1">
        <f t="shared" si="27"/>
        <v>501</v>
      </c>
    </row>
    <row r="446" spans="1:6" x14ac:dyDescent="0.25">
      <c r="A446" s="1">
        <v>445</v>
      </c>
      <c r="B446">
        <v>0.32093460792406658</v>
      </c>
      <c r="C446">
        <f t="shared" si="24"/>
        <v>63.372827117830575</v>
      </c>
      <c r="D446" s="1">
        <f t="shared" si="25"/>
        <v>63</v>
      </c>
      <c r="E446" s="1">
        <f t="shared" si="26"/>
        <v>12</v>
      </c>
      <c r="F446" s="1">
        <f t="shared" si="27"/>
        <v>416.52</v>
      </c>
    </row>
    <row r="447" spans="1:6" x14ac:dyDescent="0.25">
      <c r="A447" s="1">
        <v>446</v>
      </c>
      <c r="B447">
        <v>0.34476377397878022</v>
      </c>
      <c r="C447">
        <f t="shared" si="24"/>
        <v>65.012592448349167</v>
      </c>
      <c r="D447" s="1">
        <f t="shared" si="25"/>
        <v>65</v>
      </c>
      <c r="E447" s="1">
        <f t="shared" si="26"/>
        <v>10</v>
      </c>
      <c r="F447" s="1">
        <f t="shared" si="27"/>
        <v>430.6</v>
      </c>
    </row>
    <row r="448" spans="1:6" x14ac:dyDescent="0.25">
      <c r="A448" s="1">
        <v>447</v>
      </c>
      <c r="B448">
        <v>7.5489906371774107E-2</v>
      </c>
      <c r="C448">
        <f t="shared" si="24"/>
        <v>39.098020589987058</v>
      </c>
      <c r="D448" s="1">
        <f t="shared" si="25"/>
        <v>39</v>
      </c>
      <c r="E448" s="1">
        <f t="shared" si="26"/>
        <v>36</v>
      </c>
      <c r="F448" s="1">
        <f t="shared" si="27"/>
        <v>247.56</v>
      </c>
    </row>
    <row r="449" spans="1:6" x14ac:dyDescent="0.25">
      <c r="A449" s="1">
        <v>448</v>
      </c>
      <c r="B449">
        <v>0.22226732870377008</v>
      </c>
      <c r="C449">
        <f t="shared" si="24"/>
        <v>55.886044562407676</v>
      </c>
      <c r="D449" s="1">
        <f t="shared" si="25"/>
        <v>56</v>
      </c>
      <c r="E449" s="1">
        <f t="shared" si="26"/>
        <v>19</v>
      </c>
      <c r="F449" s="1">
        <f t="shared" si="27"/>
        <v>367.24</v>
      </c>
    </row>
    <row r="450" spans="1:6" x14ac:dyDescent="0.25">
      <c r="A450" s="1">
        <v>449</v>
      </c>
      <c r="B450">
        <v>0.78220122691016303</v>
      </c>
      <c r="C450">
        <f t="shared" si="24"/>
        <v>94.491223276189814</v>
      </c>
      <c r="D450" s="1">
        <f t="shared" si="25"/>
        <v>75</v>
      </c>
      <c r="E450" s="1">
        <f t="shared" si="26"/>
        <v>0</v>
      </c>
      <c r="F450" s="1">
        <f t="shared" si="27"/>
        <v>501</v>
      </c>
    </row>
    <row r="451" spans="1:6" x14ac:dyDescent="0.25">
      <c r="A451" s="1">
        <v>450</v>
      </c>
      <c r="B451">
        <v>0.79196658960094124</v>
      </c>
      <c r="C451">
        <f t="shared" ref="C451:C514" si="28">_xlfn.NORM.INV(B451,75,25)</f>
        <v>95.331595279886201</v>
      </c>
      <c r="D451" s="1">
        <f t="shared" ref="D451:D514" si="29">MIN(ROUND(C451,0),$H$2)</f>
        <v>75</v>
      </c>
      <c r="E451" s="1">
        <f t="shared" ref="E451:E514" si="30">$H$2-D451</f>
        <v>0</v>
      </c>
      <c r="F451" s="1">
        <f t="shared" ref="F451:F514" si="31">7*D451-$H$2/25*8-E451/25*1</f>
        <v>501</v>
      </c>
    </row>
    <row r="452" spans="1:6" x14ac:dyDescent="0.25">
      <c r="A452" s="1">
        <v>451</v>
      </c>
      <c r="B452">
        <v>0.41542212403487011</v>
      </c>
      <c r="C452">
        <f t="shared" si="28"/>
        <v>69.659527132731256</v>
      </c>
      <c r="D452" s="1">
        <f t="shared" si="29"/>
        <v>70</v>
      </c>
      <c r="E452" s="1">
        <f t="shared" si="30"/>
        <v>5</v>
      </c>
      <c r="F452" s="1">
        <f t="shared" si="31"/>
        <v>465.8</v>
      </c>
    </row>
    <row r="453" spans="1:6" x14ac:dyDescent="0.25">
      <c r="A453" s="1">
        <v>452</v>
      </c>
      <c r="B453">
        <v>0.43970158068958876</v>
      </c>
      <c r="C453">
        <f t="shared" si="28"/>
        <v>71.206853544568276</v>
      </c>
      <c r="D453" s="1">
        <f t="shared" si="29"/>
        <v>71</v>
      </c>
      <c r="E453" s="1">
        <f t="shared" si="30"/>
        <v>4</v>
      </c>
      <c r="F453" s="1">
        <f t="shared" si="31"/>
        <v>472.84</v>
      </c>
    </row>
    <row r="454" spans="1:6" x14ac:dyDescent="0.25">
      <c r="A454" s="1">
        <v>453</v>
      </c>
      <c r="B454">
        <v>0.30068698617583545</v>
      </c>
      <c r="C454">
        <f t="shared" si="28"/>
        <v>61.939357727933015</v>
      </c>
      <c r="D454" s="1">
        <f t="shared" si="29"/>
        <v>62</v>
      </c>
      <c r="E454" s="1">
        <f t="shared" si="30"/>
        <v>13</v>
      </c>
      <c r="F454" s="1">
        <f t="shared" si="31"/>
        <v>409.48</v>
      </c>
    </row>
    <row r="455" spans="1:6" x14ac:dyDescent="0.25">
      <c r="A455" s="1">
        <v>454</v>
      </c>
      <c r="B455">
        <v>0.3059877057101088</v>
      </c>
      <c r="C455">
        <f t="shared" si="28"/>
        <v>62.318607285160944</v>
      </c>
      <c r="D455" s="1">
        <f t="shared" si="29"/>
        <v>62</v>
      </c>
      <c r="E455" s="1">
        <f t="shared" si="30"/>
        <v>13</v>
      </c>
      <c r="F455" s="1">
        <f t="shared" si="31"/>
        <v>409.48</v>
      </c>
    </row>
    <row r="456" spans="1:6" x14ac:dyDescent="0.25">
      <c r="A456" s="1">
        <v>455</v>
      </c>
      <c r="B456">
        <v>0.91138650336067262</v>
      </c>
      <c r="C456">
        <f t="shared" si="28"/>
        <v>108.73356150996889</v>
      </c>
      <c r="D456" s="1">
        <f t="shared" si="29"/>
        <v>75</v>
      </c>
      <c r="E456" s="1">
        <f t="shared" si="30"/>
        <v>0</v>
      </c>
      <c r="F456" s="1">
        <f t="shared" si="31"/>
        <v>501</v>
      </c>
    </row>
    <row r="457" spans="1:6" x14ac:dyDescent="0.25">
      <c r="A457" s="1">
        <v>456</v>
      </c>
      <c r="B457">
        <v>0.16932240666499987</v>
      </c>
      <c r="C457">
        <f t="shared" si="28"/>
        <v>51.078841231798549</v>
      </c>
      <c r="D457" s="1">
        <f t="shared" si="29"/>
        <v>51</v>
      </c>
      <c r="E457" s="1">
        <f t="shared" si="30"/>
        <v>24</v>
      </c>
      <c r="F457" s="1">
        <f t="shared" si="31"/>
        <v>332.04</v>
      </c>
    </row>
    <row r="458" spans="1:6" x14ac:dyDescent="0.25">
      <c r="A458" s="1">
        <v>457</v>
      </c>
      <c r="B458">
        <v>0.27284887243190803</v>
      </c>
      <c r="C458">
        <f t="shared" si="28"/>
        <v>59.894513507374803</v>
      </c>
      <c r="D458" s="1">
        <f t="shared" si="29"/>
        <v>60</v>
      </c>
      <c r="E458" s="1">
        <f t="shared" si="30"/>
        <v>15</v>
      </c>
      <c r="F458" s="1">
        <f t="shared" si="31"/>
        <v>395.4</v>
      </c>
    </row>
    <row r="459" spans="1:6" x14ac:dyDescent="0.25">
      <c r="A459" s="1">
        <v>458</v>
      </c>
      <c r="B459">
        <v>0.98304866874436447</v>
      </c>
      <c r="C459">
        <f t="shared" si="28"/>
        <v>128.03068737896163</v>
      </c>
      <c r="D459" s="1">
        <f t="shared" si="29"/>
        <v>75</v>
      </c>
      <c r="E459" s="1">
        <f t="shared" si="30"/>
        <v>0</v>
      </c>
      <c r="F459" s="1">
        <f t="shared" si="31"/>
        <v>501</v>
      </c>
    </row>
    <row r="460" spans="1:6" x14ac:dyDescent="0.25">
      <c r="A460" s="1">
        <v>459</v>
      </c>
      <c r="B460">
        <v>0.85262417445533079</v>
      </c>
      <c r="C460">
        <f t="shared" si="28"/>
        <v>101.19386681424423</v>
      </c>
      <c r="D460" s="1">
        <f t="shared" si="29"/>
        <v>75</v>
      </c>
      <c r="E460" s="1">
        <f t="shared" si="30"/>
        <v>0</v>
      </c>
      <c r="F460" s="1">
        <f t="shared" si="31"/>
        <v>501</v>
      </c>
    </row>
    <row r="461" spans="1:6" x14ac:dyDescent="0.25">
      <c r="A461" s="1">
        <v>460</v>
      </c>
      <c r="B461">
        <v>0.95748632895120689</v>
      </c>
      <c r="C461">
        <f t="shared" si="28"/>
        <v>118.0558218329441</v>
      </c>
      <c r="D461" s="1">
        <f t="shared" si="29"/>
        <v>75</v>
      </c>
      <c r="E461" s="1">
        <f t="shared" si="30"/>
        <v>0</v>
      </c>
      <c r="F461" s="1">
        <f t="shared" si="31"/>
        <v>501</v>
      </c>
    </row>
    <row r="462" spans="1:6" x14ac:dyDescent="0.25">
      <c r="A462" s="1">
        <v>461</v>
      </c>
      <c r="B462">
        <v>6.5466509826799579E-2</v>
      </c>
      <c r="C462">
        <f t="shared" si="28"/>
        <v>37.239179528993652</v>
      </c>
      <c r="D462" s="1">
        <f t="shared" si="29"/>
        <v>37</v>
      </c>
      <c r="E462" s="1">
        <f t="shared" si="30"/>
        <v>38</v>
      </c>
      <c r="F462" s="1">
        <f t="shared" si="31"/>
        <v>233.48</v>
      </c>
    </row>
    <row r="463" spans="1:6" x14ac:dyDescent="0.25">
      <c r="A463" s="1">
        <v>462</v>
      </c>
      <c r="B463">
        <v>0.79677202098871103</v>
      </c>
      <c r="C463">
        <f t="shared" si="28"/>
        <v>95.75366255245855</v>
      </c>
      <c r="D463" s="1">
        <f t="shared" si="29"/>
        <v>75</v>
      </c>
      <c r="E463" s="1">
        <f t="shared" si="30"/>
        <v>0</v>
      </c>
      <c r="F463" s="1">
        <f t="shared" si="31"/>
        <v>501</v>
      </c>
    </row>
    <row r="464" spans="1:6" x14ac:dyDescent="0.25">
      <c r="A464" s="1">
        <v>463</v>
      </c>
      <c r="B464">
        <v>0.58593849696597278</v>
      </c>
      <c r="C464">
        <f t="shared" si="28"/>
        <v>80.427737645742653</v>
      </c>
      <c r="D464" s="1">
        <f t="shared" si="29"/>
        <v>75</v>
      </c>
      <c r="E464" s="1">
        <f t="shared" si="30"/>
        <v>0</v>
      </c>
      <c r="F464" s="1">
        <f t="shared" si="31"/>
        <v>501</v>
      </c>
    </row>
    <row r="465" spans="1:6" x14ac:dyDescent="0.25">
      <c r="A465" s="1">
        <v>464</v>
      </c>
      <c r="B465">
        <v>0.58834538244507162</v>
      </c>
      <c r="C465">
        <f t="shared" si="28"/>
        <v>80.582268456546714</v>
      </c>
      <c r="D465" s="1">
        <f t="shared" si="29"/>
        <v>75</v>
      </c>
      <c r="E465" s="1">
        <f t="shared" si="30"/>
        <v>0</v>
      </c>
      <c r="F465" s="1">
        <f t="shared" si="31"/>
        <v>501</v>
      </c>
    </row>
    <row r="466" spans="1:6" x14ac:dyDescent="0.25">
      <c r="A466" s="1">
        <v>465</v>
      </c>
      <c r="B466">
        <v>0.46921943694086155</v>
      </c>
      <c r="C466">
        <f t="shared" si="28"/>
        <v>73.06919649711142</v>
      </c>
      <c r="D466" s="1">
        <f t="shared" si="29"/>
        <v>73</v>
      </c>
      <c r="E466" s="1">
        <f t="shared" si="30"/>
        <v>2</v>
      </c>
      <c r="F466" s="1">
        <f t="shared" si="31"/>
        <v>486.92</v>
      </c>
    </row>
    <row r="467" spans="1:6" x14ac:dyDescent="0.25">
      <c r="A467" s="1">
        <v>466</v>
      </c>
      <c r="B467">
        <v>0.56223510556410727</v>
      </c>
      <c r="C467">
        <f t="shared" si="28"/>
        <v>78.915961534865716</v>
      </c>
      <c r="D467" s="1">
        <f t="shared" si="29"/>
        <v>75</v>
      </c>
      <c r="E467" s="1">
        <f t="shared" si="30"/>
        <v>0</v>
      </c>
      <c r="F467" s="1">
        <f t="shared" si="31"/>
        <v>501</v>
      </c>
    </row>
    <row r="468" spans="1:6" x14ac:dyDescent="0.25">
      <c r="A468" s="1">
        <v>467</v>
      </c>
      <c r="B468">
        <v>0.95476680807488234</v>
      </c>
      <c r="C468">
        <f t="shared" si="28"/>
        <v>117.32356627450514</v>
      </c>
      <c r="D468" s="1">
        <f t="shared" si="29"/>
        <v>75</v>
      </c>
      <c r="E468" s="1">
        <f t="shared" si="30"/>
        <v>0</v>
      </c>
      <c r="F468" s="1">
        <f t="shared" si="31"/>
        <v>501</v>
      </c>
    </row>
    <row r="469" spans="1:6" x14ac:dyDescent="0.25">
      <c r="A469" s="1">
        <v>468</v>
      </c>
      <c r="B469">
        <v>2.3663179267390144E-2</v>
      </c>
      <c r="C469">
        <f t="shared" si="28"/>
        <v>25.415804414984336</v>
      </c>
      <c r="D469" s="1">
        <f t="shared" si="29"/>
        <v>25</v>
      </c>
      <c r="E469" s="1">
        <f t="shared" si="30"/>
        <v>50</v>
      </c>
      <c r="F469" s="1">
        <f t="shared" si="31"/>
        <v>149</v>
      </c>
    </row>
    <row r="470" spans="1:6" x14ac:dyDescent="0.25">
      <c r="A470" s="1">
        <v>469</v>
      </c>
      <c r="B470">
        <v>0.12320777275194084</v>
      </c>
      <c r="C470">
        <f t="shared" si="28"/>
        <v>46.022507336783804</v>
      </c>
      <c r="D470" s="1">
        <f t="shared" si="29"/>
        <v>46</v>
      </c>
      <c r="E470" s="1">
        <f t="shared" si="30"/>
        <v>29</v>
      </c>
      <c r="F470" s="1">
        <f t="shared" si="31"/>
        <v>296.83999999999997</v>
      </c>
    </row>
    <row r="471" spans="1:6" x14ac:dyDescent="0.25">
      <c r="A471" s="1">
        <v>470</v>
      </c>
      <c r="B471">
        <v>0.22019903780264594</v>
      </c>
      <c r="C471">
        <f t="shared" si="28"/>
        <v>55.711970598455416</v>
      </c>
      <c r="D471" s="1">
        <f t="shared" si="29"/>
        <v>56</v>
      </c>
      <c r="E471" s="1">
        <f t="shared" si="30"/>
        <v>19</v>
      </c>
      <c r="F471" s="1">
        <f t="shared" si="31"/>
        <v>367.24</v>
      </c>
    </row>
    <row r="472" spans="1:6" x14ac:dyDescent="0.25">
      <c r="A472" s="1">
        <v>471</v>
      </c>
      <c r="B472">
        <v>0.65199255977147674</v>
      </c>
      <c r="C472">
        <f t="shared" si="28"/>
        <v>84.767639275951424</v>
      </c>
      <c r="D472" s="1">
        <f t="shared" si="29"/>
        <v>75</v>
      </c>
      <c r="E472" s="1">
        <f t="shared" si="30"/>
        <v>0</v>
      </c>
      <c r="F472" s="1">
        <f t="shared" si="31"/>
        <v>501</v>
      </c>
    </row>
    <row r="473" spans="1:6" x14ac:dyDescent="0.25">
      <c r="A473" s="1">
        <v>472</v>
      </c>
      <c r="B473">
        <v>0.9155887140970369</v>
      </c>
      <c r="C473">
        <f t="shared" si="28"/>
        <v>109.39992421339772</v>
      </c>
      <c r="D473" s="1">
        <f t="shared" si="29"/>
        <v>75</v>
      </c>
      <c r="E473" s="1">
        <f t="shared" si="30"/>
        <v>0</v>
      </c>
      <c r="F473" s="1">
        <f t="shared" si="31"/>
        <v>501</v>
      </c>
    </row>
    <row r="474" spans="1:6" x14ac:dyDescent="0.25">
      <c r="A474" s="1">
        <v>473</v>
      </c>
      <c r="B474">
        <v>0.25435777654197722</v>
      </c>
      <c r="C474">
        <f t="shared" si="28"/>
        <v>58.47902438019419</v>
      </c>
      <c r="D474" s="1">
        <f t="shared" si="29"/>
        <v>58</v>
      </c>
      <c r="E474" s="1">
        <f t="shared" si="30"/>
        <v>17</v>
      </c>
      <c r="F474" s="1">
        <f t="shared" si="31"/>
        <v>381.32</v>
      </c>
    </row>
    <row r="475" spans="1:6" x14ac:dyDescent="0.25">
      <c r="A475" s="1">
        <v>474</v>
      </c>
      <c r="B475">
        <v>0.24907251619483084</v>
      </c>
      <c r="C475">
        <f t="shared" si="28"/>
        <v>58.064717565294757</v>
      </c>
      <c r="D475" s="1">
        <f t="shared" si="29"/>
        <v>58</v>
      </c>
      <c r="E475" s="1">
        <f t="shared" si="30"/>
        <v>17</v>
      </c>
      <c r="F475" s="1">
        <f t="shared" si="31"/>
        <v>381.32</v>
      </c>
    </row>
    <row r="476" spans="1:6" x14ac:dyDescent="0.25">
      <c r="A476" s="1">
        <v>475</v>
      </c>
      <c r="B476">
        <v>0.20088776257767349</v>
      </c>
      <c r="C476">
        <f t="shared" si="28"/>
        <v>54.038638993342389</v>
      </c>
      <c r="D476" s="1">
        <f t="shared" si="29"/>
        <v>54</v>
      </c>
      <c r="E476" s="1">
        <f t="shared" si="30"/>
        <v>21</v>
      </c>
      <c r="F476" s="1">
        <f t="shared" si="31"/>
        <v>353.16</v>
      </c>
    </row>
    <row r="477" spans="1:6" x14ac:dyDescent="0.25">
      <c r="A477" s="1">
        <v>476</v>
      </c>
      <c r="B477">
        <v>0.48349512296840647</v>
      </c>
      <c r="C477">
        <f t="shared" si="28"/>
        <v>73.965414987319946</v>
      </c>
      <c r="D477" s="1">
        <f t="shared" si="29"/>
        <v>74</v>
      </c>
      <c r="E477" s="1">
        <f t="shared" si="30"/>
        <v>1</v>
      </c>
      <c r="F477" s="1">
        <f t="shared" si="31"/>
        <v>493.96</v>
      </c>
    </row>
    <row r="478" spans="1:6" x14ac:dyDescent="0.25">
      <c r="A478" s="1">
        <v>477</v>
      </c>
      <c r="B478">
        <v>0.61483615301446692</v>
      </c>
      <c r="C478">
        <f t="shared" si="28"/>
        <v>82.298657123435817</v>
      </c>
      <c r="D478" s="1">
        <f t="shared" si="29"/>
        <v>75</v>
      </c>
      <c r="E478" s="1">
        <f t="shared" si="30"/>
        <v>0</v>
      </c>
      <c r="F478" s="1">
        <f t="shared" si="31"/>
        <v>501</v>
      </c>
    </row>
    <row r="479" spans="1:6" x14ac:dyDescent="0.25">
      <c r="A479" s="1">
        <v>478</v>
      </c>
      <c r="B479">
        <v>0.28965790535835889</v>
      </c>
      <c r="C479">
        <f t="shared" si="28"/>
        <v>61.140390390696915</v>
      </c>
      <c r="D479" s="1">
        <f t="shared" si="29"/>
        <v>61</v>
      </c>
      <c r="E479" s="1">
        <f t="shared" si="30"/>
        <v>14</v>
      </c>
      <c r="F479" s="1">
        <f t="shared" si="31"/>
        <v>402.44</v>
      </c>
    </row>
    <row r="480" spans="1:6" x14ac:dyDescent="0.25">
      <c r="A480" s="1">
        <v>479</v>
      </c>
      <c r="B480">
        <v>0.52269030811128625</v>
      </c>
      <c r="C480">
        <f t="shared" si="28"/>
        <v>76.422671685273741</v>
      </c>
      <c r="D480" s="1">
        <f t="shared" si="29"/>
        <v>75</v>
      </c>
      <c r="E480" s="1">
        <f t="shared" si="30"/>
        <v>0</v>
      </c>
      <c r="F480" s="1">
        <f t="shared" si="31"/>
        <v>501</v>
      </c>
    </row>
    <row r="481" spans="1:6" x14ac:dyDescent="0.25">
      <c r="A481" s="1">
        <v>480</v>
      </c>
      <c r="B481">
        <v>0.61881687310199096</v>
      </c>
      <c r="C481">
        <f t="shared" si="28"/>
        <v>82.559373577570696</v>
      </c>
      <c r="D481" s="1">
        <f t="shared" si="29"/>
        <v>75</v>
      </c>
      <c r="E481" s="1">
        <f t="shared" si="30"/>
        <v>0</v>
      </c>
      <c r="F481" s="1">
        <f t="shared" si="31"/>
        <v>501</v>
      </c>
    </row>
    <row r="482" spans="1:6" x14ac:dyDescent="0.25">
      <c r="A482" s="1">
        <v>481</v>
      </c>
      <c r="B482">
        <v>0.53002648799735275</v>
      </c>
      <c r="C482">
        <f t="shared" si="28"/>
        <v>76.883411154506177</v>
      </c>
      <c r="D482" s="1">
        <f t="shared" si="29"/>
        <v>75</v>
      </c>
      <c r="E482" s="1">
        <f t="shared" si="30"/>
        <v>0</v>
      </c>
      <c r="F482" s="1">
        <f t="shared" si="31"/>
        <v>501</v>
      </c>
    </row>
    <row r="483" spans="1:6" x14ac:dyDescent="0.25">
      <c r="A483" s="1">
        <v>482</v>
      </c>
      <c r="B483">
        <v>0.43028939071576211</v>
      </c>
      <c r="C483">
        <f t="shared" si="28"/>
        <v>70.60906383274326</v>
      </c>
      <c r="D483" s="1">
        <f t="shared" si="29"/>
        <v>71</v>
      </c>
      <c r="E483" s="1">
        <f t="shared" si="30"/>
        <v>4</v>
      </c>
      <c r="F483" s="1">
        <f t="shared" si="31"/>
        <v>472.84</v>
      </c>
    </row>
    <row r="484" spans="1:6" x14ac:dyDescent="0.25">
      <c r="A484" s="1">
        <v>483</v>
      </c>
      <c r="B484">
        <v>0.87474606803201105</v>
      </c>
      <c r="C484">
        <f t="shared" si="28"/>
        <v>103.72791744800713</v>
      </c>
      <c r="D484" s="1">
        <f t="shared" si="29"/>
        <v>75</v>
      </c>
      <c r="E484" s="1">
        <f t="shared" si="30"/>
        <v>0</v>
      </c>
      <c r="F484" s="1">
        <f t="shared" si="31"/>
        <v>501</v>
      </c>
    </row>
    <row r="485" spans="1:6" x14ac:dyDescent="0.25">
      <c r="A485" s="1">
        <v>484</v>
      </c>
      <c r="B485">
        <v>0.31959633861944947</v>
      </c>
      <c r="C485">
        <f t="shared" si="28"/>
        <v>63.279303253918819</v>
      </c>
      <c r="D485" s="1">
        <f t="shared" si="29"/>
        <v>63</v>
      </c>
      <c r="E485" s="1">
        <f t="shared" si="30"/>
        <v>12</v>
      </c>
      <c r="F485" s="1">
        <f t="shared" si="31"/>
        <v>416.52</v>
      </c>
    </row>
    <row r="486" spans="1:6" x14ac:dyDescent="0.25">
      <c r="A486" s="1">
        <v>485</v>
      </c>
      <c r="B486">
        <v>0.86319342738554139</v>
      </c>
      <c r="C486">
        <f t="shared" si="28"/>
        <v>102.36949345459192</v>
      </c>
      <c r="D486" s="1">
        <f t="shared" si="29"/>
        <v>75</v>
      </c>
      <c r="E486" s="1">
        <f t="shared" si="30"/>
        <v>0</v>
      </c>
      <c r="F486" s="1">
        <f t="shared" si="31"/>
        <v>501</v>
      </c>
    </row>
    <row r="487" spans="1:6" x14ac:dyDescent="0.25">
      <c r="A487" s="1">
        <v>486</v>
      </c>
      <c r="B487">
        <v>0.47349490924179116</v>
      </c>
      <c r="C487">
        <f t="shared" si="28"/>
        <v>73.337815930362623</v>
      </c>
      <c r="D487" s="1">
        <f t="shared" si="29"/>
        <v>73</v>
      </c>
      <c r="E487" s="1">
        <f t="shared" si="30"/>
        <v>2</v>
      </c>
      <c r="F487" s="1">
        <f t="shared" si="31"/>
        <v>486.92</v>
      </c>
    </row>
    <row r="488" spans="1:6" x14ac:dyDescent="0.25">
      <c r="A488" s="1">
        <v>487</v>
      </c>
      <c r="B488">
        <v>0.28611570259405927</v>
      </c>
      <c r="C488">
        <f t="shared" si="28"/>
        <v>60.880793747304381</v>
      </c>
      <c r="D488" s="1">
        <f t="shared" si="29"/>
        <v>61</v>
      </c>
      <c r="E488" s="1">
        <f t="shared" si="30"/>
        <v>14</v>
      </c>
      <c r="F488" s="1">
        <f t="shared" si="31"/>
        <v>402.44</v>
      </c>
    </row>
    <row r="489" spans="1:6" x14ac:dyDescent="0.25">
      <c r="A489" s="1">
        <v>488</v>
      </c>
      <c r="B489">
        <v>0.84711141603082207</v>
      </c>
      <c r="C489">
        <f t="shared" si="28"/>
        <v>100.60307574919707</v>
      </c>
      <c r="D489" s="1">
        <f t="shared" si="29"/>
        <v>75</v>
      </c>
      <c r="E489" s="1">
        <f t="shared" si="30"/>
        <v>0</v>
      </c>
      <c r="F489" s="1">
        <f t="shared" si="31"/>
        <v>501</v>
      </c>
    </row>
    <row r="490" spans="1:6" x14ac:dyDescent="0.25">
      <c r="A490" s="1">
        <v>489</v>
      </c>
      <c r="B490">
        <v>0.10131377598478075</v>
      </c>
      <c r="C490">
        <f t="shared" si="28"/>
        <v>43.147469912195021</v>
      </c>
      <c r="D490" s="1">
        <f t="shared" si="29"/>
        <v>43</v>
      </c>
      <c r="E490" s="1">
        <f t="shared" si="30"/>
        <v>32</v>
      </c>
      <c r="F490" s="1">
        <f t="shared" si="31"/>
        <v>275.72000000000003</v>
      </c>
    </row>
    <row r="491" spans="1:6" x14ac:dyDescent="0.25">
      <c r="A491" s="1">
        <v>490</v>
      </c>
      <c r="B491">
        <v>0.39262213633144394</v>
      </c>
      <c r="C491">
        <f t="shared" si="28"/>
        <v>68.187717265539447</v>
      </c>
      <c r="D491" s="1">
        <f t="shared" si="29"/>
        <v>68</v>
      </c>
      <c r="E491" s="1">
        <f t="shared" si="30"/>
        <v>7</v>
      </c>
      <c r="F491" s="1">
        <f t="shared" si="31"/>
        <v>451.72</v>
      </c>
    </row>
    <row r="492" spans="1:6" x14ac:dyDescent="0.25">
      <c r="A492" s="1">
        <v>491</v>
      </c>
      <c r="B492">
        <v>0.98366055497069138</v>
      </c>
      <c r="C492">
        <f t="shared" si="28"/>
        <v>128.40016064565401</v>
      </c>
      <c r="D492" s="1">
        <f t="shared" si="29"/>
        <v>75</v>
      </c>
      <c r="E492" s="1">
        <f t="shared" si="30"/>
        <v>0</v>
      </c>
      <c r="F492" s="1">
        <f t="shared" si="31"/>
        <v>501</v>
      </c>
    </row>
    <row r="493" spans="1:6" x14ac:dyDescent="0.25">
      <c r="A493" s="1">
        <v>492</v>
      </c>
      <c r="B493">
        <v>0.59364472666504831</v>
      </c>
      <c r="C493">
        <f t="shared" si="28"/>
        <v>80.923267698022457</v>
      </c>
      <c r="D493" s="1">
        <f t="shared" si="29"/>
        <v>75</v>
      </c>
      <c r="E493" s="1">
        <f t="shared" si="30"/>
        <v>0</v>
      </c>
      <c r="F493" s="1">
        <f t="shared" si="31"/>
        <v>501</v>
      </c>
    </row>
    <row r="494" spans="1:6" x14ac:dyDescent="0.25">
      <c r="A494" s="1">
        <v>493</v>
      </c>
      <c r="B494">
        <v>0.20446820196361948</v>
      </c>
      <c r="C494">
        <f t="shared" si="28"/>
        <v>54.355830584539746</v>
      </c>
      <c r="D494" s="1">
        <f t="shared" si="29"/>
        <v>54</v>
      </c>
      <c r="E494" s="1">
        <f t="shared" si="30"/>
        <v>21</v>
      </c>
      <c r="F494" s="1">
        <f t="shared" si="31"/>
        <v>353.16</v>
      </c>
    </row>
    <row r="495" spans="1:6" x14ac:dyDescent="0.25">
      <c r="A495" s="1">
        <v>494</v>
      </c>
      <c r="B495">
        <v>0.26758704617078544</v>
      </c>
      <c r="C495">
        <f t="shared" si="28"/>
        <v>59.496821765902538</v>
      </c>
      <c r="D495" s="1">
        <f t="shared" si="29"/>
        <v>59</v>
      </c>
      <c r="E495" s="1">
        <f t="shared" si="30"/>
        <v>16</v>
      </c>
      <c r="F495" s="1">
        <f t="shared" si="31"/>
        <v>388.36</v>
      </c>
    </row>
    <row r="496" spans="1:6" x14ac:dyDescent="0.25">
      <c r="A496" s="1">
        <v>495</v>
      </c>
      <c r="B496">
        <v>4.728639770733789E-2</v>
      </c>
      <c r="C496">
        <f t="shared" si="28"/>
        <v>33.206144223834755</v>
      </c>
      <c r="D496" s="1">
        <f t="shared" si="29"/>
        <v>33</v>
      </c>
      <c r="E496" s="1">
        <f t="shared" si="30"/>
        <v>42</v>
      </c>
      <c r="F496" s="1">
        <f t="shared" si="31"/>
        <v>205.32</v>
      </c>
    </row>
    <row r="497" spans="1:6" x14ac:dyDescent="0.25">
      <c r="A497" s="1">
        <v>496</v>
      </c>
      <c r="B497">
        <v>0.64983635020372577</v>
      </c>
      <c r="C497">
        <f t="shared" si="28"/>
        <v>84.621967092630484</v>
      </c>
      <c r="D497" s="1">
        <f t="shared" si="29"/>
        <v>75</v>
      </c>
      <c r="E497" s="1">
        <f t="shared" si="30"/>
        <v>0</v>
      </c>
      <c r="F497" s="1">
        <f t="shared" si="31"/>
        <v>501</v>
      </c>
    </row>
    <row r="498" spans="1:6" x14ac:dyDescent="0.25">
      <c r="A498" s="1">
        <v>497</v>
      </c>
      <c r="B498">
        <v>0.86010576245914494</v>
      </c>
      <c r="C498">
        <f t="shared" si="28"/>
        <v>102.0198658977295</v>
      </c>
      <c r="D498" s="1">
        <f t="shared" si="29"/>
        <v>75</v>
      </c>
      <c r="E498" s="1">
        <f t="shared" si="30"/>
        <v>0</v>
      </c>
      <c r="F498" s="1">
        <f t="shared" si="31"/>
        <v>501</v>
      </c>
    </row>
    <row r="499" spans="1:6" x14ac:dyDescent="0.25">
      <c r="A499" s="1">
        <v>498</v>
      </c>
      <c r="B499">
        <v>0.16658380732693545</v>
      </c>
      <c r="C499">
        <f t="shared" si="28"/>
        <v>50.806168639730458</v>
      </c>
      <c r="D499" s="1">
        <f t="shared" si="29"/>
        <v>51</v>
      </c>
      <c r="E499" s="1">
        <f t="shared" si="30"/>
        <v>24</v>
      </c>
      <c r="F499" s="1">
        <f t="shared" si="31"/>
        <v>332.04</v>
      </c>
    </row>
    <row r="500" spans="1:6" x14ac:dyDescent="0.25">
      <c r="A500" s="1">
        <v>499</v>
      </c>
      <c r="B500">
        <v>0.63142334575168746</v>
      </c>
      <c r="C500">
        <f t="shared" si="28"/>
        <v>83.390636957359789</v>
      </c>
      <c r="D500" s="1">
        <f t="shared" si="29"/>
        <v>75</v>
      </c>
      <c r="E500" s="1">
        <f t="shared" si="30"/>
        <v>0</v>
      </c>
      <c r="F500" s="1">
        <f t="shared" si="31"/>
        <v>501</v>
      </c>
    </row>
    <row r="501" spans="1:6" x14ac:dyDescent="0.25">
      <c r="A501" s="1">
        <v>500</v>
      </c>
      <c r="B501">
        <v>0.24947448318893373</v>
      </c>
      <c r="C501">
        <f t="shared" si="28"/>
        <v>58.096389888867179</v>
      </c>
      <c r="D501" s="1">
        <f t="shared" si="29"/>
        <v>58</v>
      </c>
      <c r="E501" s="1">
        <f t="shared" si="30"/>
        <v>17</v>
      </c>
      <c r="F501" s="1">
        <f t="shared" si="31"/>
        <v>381.32</v>
      </c>
    </row>
    <row r="502" spans="1:6" x14ac:dyDescent="0.25">
      <c r="A502" s="1">
        <v>501</v>
      </c>
      <c r="B502">
        <v>0.90117955553826334</v>
      </c>
      <c r="C502">
        <f t="shared" si="28"/>
        <v>107.20754772099534</v>
      </c>
      <c r="D502" s="1">
        <f t="shared" si="29"/>
        <v>75</v>
      </c>
      <c r="E502" s="1">
        <f t="shared" si="30"/>
        <v>0</v>
      </c>
      <c r="F502" s="1">
        <f t="shared" si="31"/>
        <v>501</v>
      </c>
    </row>
    <row r="503" spans="1:6" x14ac:dyDescent="0.25">
      <c r="A503" s="1">
        <v>502</v>
      </c>
      <c r="B503">
        <v>0.33509746611022728</v>
      </c>
      <c r="C503">
        <f t="shared" si="28"/>
        <v>64.352987757192324</v>
      </c>
      <c r="D503" s="1">
        <f t="shared" si="29"/>
        <v>64</v>
      </c>
      <c r="E503" s="1">
        <f t="shared" si="30"/>
        <v>11</v>
      </c>
      <c r="F503" s="1">
        <f t="shared" si="31"/>
        <v>423.56</v>
      </c>
    </row>
    <row r="504" spans="1:6" x14ac:dyDescent="0.25">
      <c r="A504" s="1">
        <v>503</v>
      </c>
      <c r="B504">
        <v>0.61801068040598839</v>
      </c>
      <c r="C504">
        <f t="shared" si="28"/>
        <v>82.506506637679976</v>
      </c>
      <c r="D504" s="1">
        <f t="shared" si="29"/>
        <v>75</v>
      </c>
      <c r="E504" s="1">
        <f t="shared" si="30"/>
        <v>0</v>
      </c>
      <c r="F504" s="1">
        <f t="shared" si="31"/>
        <v>501</v>
      </c>
    </row>
    <row r="505" spans="1:6" x14ac:dyDescent="0.25">
      <c r="A505" s="1">
        <v>504</v>
      </c>
      <c r="B505">
        <v>3.4366969671083436E-2</v>
      </c>
      <c r="C505">
        <f t="shared" si="28"/>
        <v>29.49588451750143</v>
      </c>
      <c r="D505" s="1">
        <f t="shared" si="29"/>
        <v>29</v>
      </c>
      <c r="E505" s="1">
        <f t="shared" si="30"/>
        <v>46</v>
      </c>
      <c r="F505" s="1">
        <f t="shared" si="31"/>
        <v>177.16</v>
      </c>
    </row>
    <row r="506" spans="1:6" x14ac:dyDescent="0.25">
      <c r="A506" s="1">
        <v>505</v>
      </c>
      <c r="B506">
        <v>0.62936107044228229</v>
      </c>
      <c r="C506">
        <f t="shared" si="28"/>
        <v>83.254040035764447</v>
      </c>
      <c r="D506" s="1">
        <f t="shared" si="29"/>
        <v>75</v>
      </c>
      <c r="E506" s="1">
        <f t="shared" si="30"/>
        <v>0</v>
      </c>
      <c r="F506" s="1">
        <f t="shared" si="31"/>
        <v>501</v>
      </c>
    </row>
    <row r="507" spans="1:6" x14ac:dyDescent="0.25">
      <c r="A507" s="1">
        <v>506</v>
      </c>
      <c r="B507">
        <v>0.87292902603137368</v>
      </c>
      <c r="C507">
        <f t="shared" si="28"/>
        <v>103.50866396477397</v>
      </c>
      <c r="D507" s="1">
        <f t="shared" si="29"/>
        <v>75</v>
      </c>
      <c r="E507" s="1">
        <f t="shared" si="30"/>
        <v>0</v>
      </c>
      <c r="F507" s="1">
        <f t="shared" si="31"/>
        <v>501</v>
      </c>
    </row>
    <row r="508" spans="1:6" x14ac:dyDescent="0.25">
      <c r="A508" s="1">
        <v>507</v>
      </c>
      <c r="B508">
        <v>0.81823721605364941</v>
      </c>
      <c r="C508">
        <f t="shared" si="28"/>
        <v>97.716692071022933</v>
      </c>
      <c r="D508" s="1">
        <f t="shared" si="29"/>
        <v>75</v>
      </c>
      <c r="E508" s="1">
        <f t="shared" si="30"/>
        <v>0</v>
      </c>
      <c r="F508" s="1">
        <f t="shared" si="31"/>
        <v>501</v>
      </c>
    </row>
    <row r="509" spans="1:6" x14ac:dyDescent="0.25">
      <c r="A509" s="1">
        <v>508</v>
      </c>
      <c r="B509">
        <v>0.32549554609924136</v>
      </c>
      <c r="C509">
        <f t="shared" si="28"/>
        <v>63.690355601014971</v>
      </c>
      <c r="D509" s="1">
        <f t="shared" si="29"/>
        <v>64</v>
      </c>
      <c r="E509" s="1">
        <f t="shared" si="30"/>
        <v>11</v>
      </c>
      <c r="F509" s="1">
        <f t="shared" si="31"/>
        <v>423.56</v>
      </c>
    </row>
    <row r="510" spans="1:6" x14ac:dyDescent="0.25">
      <c r="A510" s="1">
        <v>509</v>
      </c>
      <c r="B510">
        <v>0.11926532982756388</v>
      </c>
      <c r="C510">
        <f t="shared" si="28"/>
        <v>45.533316128751565</v>
      </c>
      <c r="D510" s="1">
        <f t="shared" si="29"/>
        <v>46</v>
      </c>
      <c r="E510" s="1">
        <f t="shared" si="30"/>
        <v>29</v>
      </c>
      <c r="F510" s="1">
        <f t="shared" si="31"/>
        <v>296.83999999999997</v>
      </c>
    </row>
    <row r="511" spans="1:6" x14ac:dyDescent="0.25">
      <c r="A511" s="1">
        <v>510</v>
      </c>
      <c r="B511">
        <v>0.36871038170649362</v>
      </c>
      <c r="C511">
        <f t="shared" si="28"/>
        <v>66.618228173117188</v>
      </c>
      <c r="D511" s="1">
        <f t="shared" si="29"/>
        <v>67</v>
      </c>
      <c r="E511" s="1">
        <f t="shared" si="30"/>
        <v>8</v>
      </c>
      <c r="F511" s="1">
        <f t="shared" si="31"/>
        <v>444.68</v>
      </c>
    </row>
    <row r="512" spans="1:6" x14ac:dyDescent="0.25">
      <c r="A512" s="1">
        <v>511</v>
      </c>
      <c r="B512">
        <v>0.46660942990038168</v>
      </c>
      <c r="C512">
        <f t="shared" si="28"/>
        <v>72.905107276779873</v>
      </c>
      <c r="D512" s="1">
        <f t="shared" si="29"/>
        <v>73</v>
      </c>
      <c r="E512" s="1">
        <f t="shared" si="30"/>
        <v>2</v>
      </c>
      <c r="F512" s="1">
        <f t="shared" si="31"/>
        <v>486.92</v>
      </c>
    </row>
    <row r="513" spans="1:6" x14ac:dyDescent="0.25">
      <c r="A513" s="1">
        <v>512</v>
      </c>
      <c r="B513">
        <v>0.77557361121319146</v>
      </c>
      <c r="C513">
        <f t="shared" si="28"/>
        <v>93.933225141167298</v>
      </c>
      <c r="D513" s="1">
        <f t="shared" si="29"/>
        <v>75</v>
      </c>
      <c r="E513" s="1">
        <f t="shared" si="30"/>
        <v>0</v>
      </c>
      <c r="F513" s="1">
        <f t="shared" si="31"/>
        <v>501</v>
      </c>
    </row>
    <row r="514" spans="1:6" x14ac:dyDescent="0.25">
      <c r="A514" s="1">
        <v>513</v>
      </c>
      <c r="B514">
        <v>0.82074704445329416</v>
      </c>
      <c r="C514">
        <f t="shared" si="28"/>
        <v>97.95539439464234</v>
      </c>
      <c r="D514" s="1">
        <f t="shared" si="29"/>
        <v>75</v>
      </c>
      <c r="E514" s="1">
        <f t="shared" si="30"/>
        <v>0</v>
      </c>
      <c r="F514" s="1">
        <f t="shared" si="31"/>
        <v>501</v>
      </c>
    </row>
    <row r="515" spans="1:6" x14ac:dyDescent="0.25">
      <c r="A515" s="1">
        <v>514</v>
      </c>
      <c r="B515">
        <v>0.26884047022061408</v>
      </c>
      <c r="C515">
        <f t="shared" ref="C515:C578" si="32">_xlfn.NORM.INV(B515,75,25)</f>
        <v>59.591909034758459</v>
      </c>
      <c r="D515" s="1">
        <f t="shared" ref="D515:D578" si="33">MIN(ROUND(C515,0),$H$2)</f>
        <v>60</v>
      </c>
      <c r="E515" s="1">
        <f t="shared" ref="E515:E578" si="34">$H$2-D515</f>
        <v>15</v>
      </c>
      <c r="F515" s="1">
        <f t="shared" ref="F515:F578" si="35">7*D515-$H$2/25*8-E515/25*1</f>
        <v>395.4</v>
      </c>
    </row>
    <row r="516" spans="1:6" x14ac:dyDescent="0.25">
      <c r="A516" s="1">
        <v>515</v>
      </c>
      <c r="B516">
        <v>0.1696946224362067</v>
      </c>
      <c r="C516">
        <f t="shared" si="32"/>
        <v>51.115682016985218</v>
      </c>
      <c r="D516" s="1">
        <f t="shared" si="33"/>
        <v>51</v>
      </c>
      <c r="E516" s="1">
        <f t="shared" si="34"/>
        <v>24</v>
      </c>
      <c r="F516" s="1">
        <f t="shared" si="35"/>
        <v>332.04</v>
      </c>
    </row>
    <row r="517" spans="1:6" x14ac:dyDescent="0.25">
      <c r="A517" s="1">
        <v>516</v>
      </c>
      <c r="B517">
        <v>1.4397226533961582E-2</v>
      </c>
      <c r="C517">
        <f t="shared" si="32"/>
        <v>20.342769756123516</v>
      </c>
      <c r="D517" s="1">
        <f t="shared" si="33"/>
        <v>20</v>
      </c>
      <c r="E517" s="1">
        <f t="shared" si="34"/>
        <v>55</v>
      </c>
      <c r="F517" s="1">
        <f t="shared" si="35"/>
        <v>113.8</v>
      </c>
    </row>
    <row r="518" spans="1:6" x14ac:dyDescent="0.25">
      <c r="A518" s="1">
        <v>517</v>
      </c>
      <c r="B518">
        <v>0.30750385122848822</v>
      </c>
      <c r="C518">
        <f t="shared" si="32"/>
        <v>62.426544280617371</v>
      </c>
      <c r="D518" s="1">
        <f t="shared" si="33"/>
        <v>62</v>
      </c>
      <c r="E518" s="1">
        <f t="shared" si="34"/>
        <v>13</v>
      </c>
      <c r="F518" s="1">
        <f t="shared" si="35"/>
        <v>409.48</v>
      </c>
    </row>
    <row r="519" spans="1:6" x14ac:dyDescent="0.25">
      <c r="A519" s="1">
        <v>518</v>
      </c>
      <c r="B519">
        <v>0.87621286158144962</v>
      </c>
      <c r="C519">
        <f t="shared" si="32"/>
        <v>103.90653347569845</v>
      </c>
      <c r="D519" s="1">
        <f t="shared" si="33"/>
        <v>75</v>
      </c>
      <c r="E519" s="1">
        <f t="shared" si="34"/>
        <v>0</v>
      </c>
      <c r="F519" s="1">
        <f t="shared" si="35"/>
        <v>501</v>
      </c>
    </row>
    <row r="520" spans="1:6" x14ac:dyDescent="0.25">
      <c r="A520" s="1">
        <v>519</v>
      </c>
      <c r="B520">
        <v>0.79906682277363161</v>
      </c>
      <c r="C520">
        <f t="shared" si="32"/>
        <v>95.957316624090851</v>
      </c>
      <c r="D520" s="1">
        <f t="shared" si="33"/>
        <v>75</v>
      </c>
      <c r="E520" s="1">
        <f t="shared" si="34"/>
        <v>0</v>
      </c>
      <c r="F520" s="1">
        <f t="shared" si="35"/>
        <v>501</v>
      </c>
    </row>
    <row r="521" spans="1:6" x14ac:dyDescent="0.25">
      <c r="A521" s="1">
        <v>520</v>
      </c>
      <c r="B521">
        <v>0.77629901779868571</v>
      </c>
      <c r="C521">
        <f t="shared" si="32"/>
        <v>93.99383659550702</v>
      </c>
      <c r="D521" s="1">
        <f t="shared" si="33"/>
        <v>75</v>
      </c>
      <c r="E521" s="1">
        <f t="shared" si="34"/>
        <v>0</v>
      </c>
      <c r="F521" s="1">
        <f t="shared" si="35"/>
        <v>501</v>
      </c>
    </row>
    <row r="522" spans="1:6" x14ac:dyDescent="0.25">
      <c r="A522" s="1">
        <v>521</v>
      </c>
      <c r="B522">
        <v>5.2181729447213776E-2</v>
      </c>
      <c r="C522">
        <f t="shared" si="32"/>
        <v>34.398553314566193</v>
      </c>
      <c r="D522" s="1">
        <f t="shared" si="33"/>
        <v>34</v>
      </c>
      <c r="E522" s="1">
        <f t="shared" si="34"/>
        <v>41</v>
      </c>
      <c r="F522" s="1">
        <f t="shared" si="35"/>
        <v>212.36</v>
      </c>
    </row>
    <row r="523" spans="1:6" x14ac:dyDescent="0.25">
      <c r="A523" s="1">
        <v>522</v>
      </c>
      <c r="B523">
        <v>0.5593015551745617</v>
      </c>
      <c r="C523">
        <f t="shared" si="32"/>
        <v>78.72996610945404</v>
      </c>
      <c r="D523" s="1">
        <f t="shared" si="33"/>
        <v>75</v>
      </c>
      <c r="E523" s="1">
        <f t="shared" si="34"/>
        <v>0</v>
      </c>
      <c r="F523" s="1">
        <f t="shared" si="35"/>
        <v>501</v>
      </c>
    </row>
    <row r="524" spans="1:6" x14ac:dyDescent="0.25">
      <c r="A524" s="1">
        <v>523</v>
      </c>
      <c r="B524">
        <v>0.95440426732677364</v>
      </c>
      <c r="C524">
        <f t="shared" si="32"/>
        <v>117.2286485701967</v>
      </c>
      <c r="D524" s="1">
        <f t="shared" si="33"/>
        <v>75</v>
      </c>
      <c r="E524" s="1">
        <f t="shared" si="34"/>
        <v>0</v>
      </c>
      <c r="F524" s="1">
        <f t="shared" si="35"/>
        <v>501</v>
      </c>
    </row>
    <row r="525" spans="1:6" x14ac:dyDescent="0.25">
      <c r="A525" s="1">
        <v>524</v>
      </c>
      <c r="B525">
        <v>0.79522799524785481</v>
      </c>
      <c r="C525">
        <f t="shared" si="32"/>
        <v>95.617408527257965</v>
      </c>
      <c r="D525" s="1">
        <f t="shared" si="33"/>
        <v>75</v>
      </c>
      <c r="E525" s="1">
        <f t="shared" si="34"/>
        <v>0</v>
      </c>
      <c r="F525" s="1">
        <f t="shared" si="35"/>
        <v>501</v>
      </c>
    </row>
    <row r="526" spans="1:6" x14ac:dyDescent="0.25">
      <c r="A526" s="1">
        <v>525</v>
      </c>
      <c r="B526">
        <v>0.10539483246347048</v>
      </c>
      <c r="C526">
        <f t="shared" si="32"/>
        <v>43.715074565128546</v>
      </c>
      <c r="D526" s="1">
        <f t="shared" si="33"/>
        <v>44</v>
      </c>
      <c r="E526" s="1">
        <f t="shared" si="34"/>
        <v>31</v>
      </c>
      <c r="F526" s="1">
        <f t="shared" si="35"/>
        <v>282.76</v>
      </c>
    </row>
    <row r="527" spans="1:6" x14ac:dyDescent="0.25">
      <c r="A527" s="1">
        <v>526</v>
      </c>
      <c r="B527">
        <v>0.77399593928199506</v>
      </c>
      <c r="C527">
        <f t="shared" si="32"/>
        <v>93.801785025800299</v>
      </c>
      <c r="D527" s="1">
        <f t="shared" si="33"/>
        <v>75</v>
      </c>
      <c r="E527" s="1">
        <f t="shared" si="34"/>
        <v>0</v>
      </c>
      <c r="F527" s="1">
        <f t="shared" si="35"/>
        <v>501</v>
      </c>
    </row>
    <row r="528" spans="1:6" x14ac:dyDescent="0.25">
      <c r="A528" s="1">
        <v>527</v>
      </c>
      <c r="B528">
        <v>0.91868858244895835</v>
      </c>
      <c r="C528">
        <f t="shared" si="32"/>
        <v>109.90761118600835</v>
      </c>
      <c r="D528" s="1">
        <f t="shared" si="33"/>
        <v>75</v>
      </c>
      <c r="E528" s="1">
        <f t="shared" si="34"/>
        <v>0</v>
      </c>
      <c r="F528" s="1">
        <f t="shared" si="35"/>
        <v>501</v>
      </c>
    </row>
    <row r="529" spans="1:6" x14ac:dyDescent="0.25">
      <c r="A529" s="1">
        <v>528</v>
      </c>
      <c r="B529">
        <v>0.58130138305173673</v>
      </c>
      <c r="C529">
        <f t="shared" si="32"/>
        <v>80.130596329909892</v>
      </c>
      <c r="D529" s="1">
        <f t="shared" si="33"/>
        <v>75</v>
      </c>
      <c r="E529" s="1">
        <f t="shared" si="34"/>
        <v>0</v>
      </c>
      <c r="F529" s="1">
        <f t="shared" si="35"/>
        <v>501</v>
      </c>
    </row>
    <row r="530" spans="1:6" x14ac:dyDescent="0.25">
      <c r="A530" s="1">
        <v>529</v>
      </c>
      <c r="B530">
        <v>0.44674748139242693</v>
      </c>
      <c r="C530">
        <f t="shared" si="32"/>
        <v>71.652920874210736</v>
      </c>
      <c r="D530" s="1">
        <f t="shared" si="33"/>
        <v>72</v>
      </c>
      <c r="E530" s="1">
        <f t="shared" si="34"/>
        <v>3</v>
      </c>
      <c r="F530" s="1">
        <f t="shared" si="35"/>
        <v>479.88</v>
      </c>
    </row>
    <row r="531" spans="1:6" x14ac:dyDescent="0.25">
      <c r="A531" s="1">
        <v>530</v>
      </c>
      <c r="B531">
        <v>0.66710765946318773</v>
      </c>
      <c r="C531">
        <f t="shared" si="32"/>
        <v>85.798511718321137</v>
      </c>
      <c r="D531" s="1">
        <f t="shared" si="33"/>
        <v>75</v>
      </c>
      <c r="E531" s="1">
        <f t="shared" si="34"/>
        <v>0</v>
      </c>
      <c r="F531" s="1">
        <f t="shared" si="35"/>
        <v>501</v>
      </c>
    </row>
    <row r="532" spans="1:6" x14ac:dyDescent="0.25">
      <c r="A532" s="1">
        <v>531</v>
      </c>
      <c r="B532">
        <v>0.31816313344872738</v>
      </c>
      <c r="C532">
        <f t="shared" si="32"/>
        <v>63.178962609239626</v>
      </c>
      <c r="D532" s="1">
        <f t="shared" si="33"/>
        <v>63</v>
      </c>
      <c r="E532" s="1">
        <f t="shared" si="34"/>
        <v>12</v>
      </c>
      <c r="F532" s="1">
        <f t="shared" si="35"/>
        <v>416.52</v>
      </c>
    </row>
    <row r="533" spans="1:6" x14ac:dyDescent="0.25">
      <c r="A533" s="1">
        <v>532</v>
      </c>
      <c r="B533">
        <v>0.24045430253475031</v>
      </c>
      <c r="C533">
        <f t="shared" si="32"/>
        <v>57.378951492865284</v>
      </c>
      <c r="D533" s="1">
        <f t="shared" si="33"/>
        <v>57</v>
      </c>
      <c r="E533" s="1">
        <f t="shared" si="34"/>
        <v>18</v>
      </c>
      <c r="F533" s="1">
        <f t="shared" si="35"/>
        <v>374.28</v>
      </c>
    </row>
    <row r="534" spans="1:6" x14ac:dyDescent="0.25">
      <c r="A534" s="1">
        <v>533</v>
      </c>
      <c r="B534">
        <v>0.220842697124777</v>
      </c>
      <c r="C534">
        <f t="shared" si="32"/>
        <v>55.766242919134413</v>
      </c>
      <c r="D534" s="1">
        <f t="shared" si="33"/>
        <v>56</v>
      </c>
      <c r="E534" s="1">
        <f t="shared" si="34"/>
        <v>19</v>
      </c>
      <c r="F534" s="1">
        <f t="shared" si="35"/>
        <v>367.24</v>
      </c>
    </row>
    <row r="535" spans="1:6" x14ac:dyDescent="0.25">
      <c r="A535" s="1">
        <v>534</v>
      </c>
      <c r="B535">
        <v>0.46007379542535332</v>
      </c>
      <c r="C535">
        <f t="shared" si="32"/>
        <v>72.493804768474774</v>
      </c>
      <c r="D535" s="1">
        <f t="shared" si="33"/>
        <v>72</v>
      </c>
      <c r="E535" s="1">
        <f t="shared" si="34"/>
        <v>3</v>
      </c>
      <c r="F535" s="1">
        <f t="shared" si="35"/>
        <v>479.88</v>
      </c>
    </row>
    <row r="536" spans="1:6" x14ac:dyDescent="0.25">
      <c r="A536" s="1">
        <v>535</v>
      </c>
      <c r="B536">
        <v>0.88738838208481152</v>
      </c>
      <c r="C536">
        <f t="shared" si="32"/>
        <v>105.3188925852328</v>
      </c>
      <c r="D536" s="1">
        <f t="shared" si="33"/>
        <v>75</v>
      </c>
      <c r="E536" s="1">
        <f t="shared" si="34"/>
        <v>0</v>
      </c>
      <c r="F536" s="1">
        <f t="shared" si="35"/>
        <v>501</v>
      </c>
    </row>
    <row r="537" spans="1:6" x14ac:dyDescent="0.25">
      <c r="A537" s="1">
        <v>536</v>
      </c>
      <c r="B537">
        <v>0.89850741694523917</v>
      </c>
      <c r="C537">
        <f t="shared" si="32"/>
        <v>106.8273162989129</v>
      </c>
      <c r="D537" s="1">
        <f t="shared" si="33"/>
        <v>75</v>
      </c>
      <c r="E537" s="1">
        <f t="shared" si="34"/>
        <v>0</v>
      </c>
      <c r="F537" s="1">
        <f t="shared" si="35"/>
        <v>501</v>
      </c>
    </row>
    <row r="538" spans="1:6" x14ac:dyDescent="0.25">
      <c r="A538" s="1">
        <v>537</v>
      </c>
      <c r="B538">
        <v>0.32002347557075339</v>
      </c>
      <c r="C538">
        <f t="shared" si="32"/>
        <v>63.309171135925077</v>
      </c>
      <c r="D538" s="1">
        <f t="shared" si="33"/>
        <v>63</v>
      </c>
      <c r="E538" s="1">
        <f t="shared" si="34"/>
        <v>12</v>
      </c>
      <c r="F538" s="1">
        <f t="shared" si="35"/>
        <v>416.52</v>
      </c>
    </row>
    <row r="539" spans="1:6" x14ac:dyDescent="0.25">
      <c r="A539" s="1">
        <v>538</v>
      </c>
      <c r="B539">
        <v>0.4327993228408914</v>
      </c>
      <c r="C539">
        <f t="shared" si="32"/>
        <v>70.76870686673746</v>
      </c>
      <c r="D539" s="1">
        <f t="shared" si="33"/>
        <v>71</v>
      </c>
      <c r="E539" s="1">
        <f t="shared" si="34"/>
        <v>4</v>
      </c>
      <c r="F539" s="1">
        <f t="shared" si="35"/>
        <v>472.84</v>
      </c>
    </row>
    <row r="540" spans="1:6" x14ac:dyDescent="0.25">
      <c r="A540" s="1">
        <v>539</v>
      </c>
      <c r="B540">
        <v>0.13429084707831529</v>
      </c>
      <c r="C540">
        <f t="shared" si="32"/>
        <v>47.34163344173929</v>
      </c>
      <c r="D540" s="1">
        <f t="shared" si="33"/>
        <v>47</v>
      </c>
      <c r="E540" s="1">
        <f t="shared" si="34"/>
        <v>28</v>
      </c>
      <c r="F540" s="1">
        <f t="shared" si="35"/>
        <v>303.88</v>
      </c>
    </row>
    <row r="541" spans="1:6" x14ac:dyDescent="0.25">
      <c r="A541" s="1">
        <v>540</v>
      </c>
      <c r="B541">
        <v>0.18094085026440176</v>
      </c>
      <c r="C541">
        <f t="shared" si="32"/>
        <v>52.205365143563668</v>
      </c>
      <c r="D541" s="1">
        <f t="shared" si="33"/>
        <v>52</v>
      </c>
      <c r="E541" s="1">
        <f t="shared" si="34"/>
        <v>23</v>
      </c>
      <c r="F541" s="1">
        <f t="shared" si="35"/>
        <v>339.08</v>
      </c>
    </row>
    <row r="542" spans="1:6" x14ac:dyDescent="0.25">
      <c r="A542" s="1">
        <v>541</v>
      </c>
      <c r="B542">
        <v>0.17917385704240252</v>
      </c>
      <c r="C542">
        <f t="shared" si="32"/>
        <v>52.037048774238023</v>
      </c>
      <c r="D542" s="1">
        <f t="shared" si="33"/>
        <v>52</v>
      </c>
      <c r="E542" s="1">
        <f t="shared" si="34"/>
        <v>23</v>
      </c>
      <c r="F542" s="1">
        <f t="shared" si="35"/>
        <v>339.08</v>
      </c>
    </row>
    <row r="543" spans="1:6" x14ac:dyDescent="0.25">
      <c r="A543" s="1">
        <v>542</v>
      </c>
      <c r="B543">
        <v>0.46621538973578536</v>
      </c>
      <c r="C543">
        <f t="shared" si="32"/>
        <v>72.880326592798497</v>
      </c>
      <c r="D543" s="1">
        <f t="shared" si="33"/>
        <v>73</v>
      </c>
      <c r="E543" s="1">
        <f t="shared" si="34"/>
        <v>2</v>
      </c>
      <c r="F543" s="1">
        <f t="shared" si="35"/>
        <v>486.92</v>
      </c>
    </row>
    <row r="544" spans="1:6" x14ac:dyDescent="0.25">
      <c r="A544" s="1">
        <v>543</v>
      </c>
      <c r="B544">
        <v>7.64189477598608E-2</v>
      </c>
      <c r="C544">
        <f t="shared" si="32"/>
        <v>39.260525804286907</v>
      </c>
      <c r="D544" s="1">
        <f t="shared" si="33"/>
        <v>39</v>
      </c>
      <c r="E544" s="1">
        <f t="shared" si="34"/>
        <v>36</v>
      </c>
      <c r="F544" s="1">
        <f t="shared" si="35"/>
        <v>247.56</v>
      </c>
    </row>
    <row r="545" spans="1:6" x14ac:dyDescent="0.25">
      <c r="A545" s="1">
        <v>544</v>
      </c>
      <c r="B545">
        <v>0.60773922825944282</v>
      </c>
      <c r="C545">
        <f t="shared" si="32"/>
        <v>81.835787436144329</v>
      </c>
      <c r="D545" s="1">
        <f t="shared" si="33"/>
        <v>75</v>
      </c>
      <c r="E545" s="1">
        <f t="shared" si="34"/>
        <v>0</v>
      </c>
      <c r="F545" s="1">
        <f t="shared" si="35"/>
        <v>501</v>
      </c>
    </row>
    <row r="546" spans="1:6" x14ac:dyDescent="0.25">
      <c r="A546" s="1">
        <v>545</v>
      </c>
      <c r="B546">
        <v>0.43105330856411173</v>
      </c>
      <c r="C546">
        <f t="shared" si="32"/>
        <v>70.657671120354763</v>
      </c>
      <c r="D546" s="1">
        <f t="shared" si="33"/>
        <v>71</v>
      </c>
      <c r="E546" s="1">
        <f t="shared" si="34"/>
        <v>4</v>
      </c>
      <c r="F546" s="1">
        <f t="shared" si="35"/>
        <v>472.84</v>
      </c>
    </row>
    <row r="547" spans="1:6" x14ac:dyDescent="0.25">
      <c r="A547" s="1">
        <v>546</v>
      </c>
      <c r="B547">
        <v>0.9504182880186629</v>
      </c>
      <c r="C547">
        <f t="shared" si="32"/>
        <v>116.2230733587286</v>
      </c>
      <c r="D547" s="1">
        <f t="shared" si="33"/>
        <v>75</v>
      </c>
      <c r="E547" s="1">
        <f t="shared" si="34"/>
        <v>0</v>
      </c>
      <c r="F547" s="1">
        <f t="shared" si="35"/>
        <v>501</v>
      </c>
    </row>
    <row r="548" spans="1:6" x14ac:dyDescent="0.25">
      <c r="A548" s="1">
        <v>547</v>
      </c>
      <c r="B548">
        <v>0.40875399981823834</v>
      </c>
      <c r="C548">
        <f t="shared" si="32"/>
        <v>69.231216936252878</v>
      </c>
      <c r="D548" s="1">
        <f t="shared" si="33"/>
        <v>69</v>
      </c>
      <c r="E548" s="1">
        <f t="shared" si="34"/>
        <v>6</v>
      </c>
      <c r="F548" s="1">
        <f t="shared" si="35"/>
        <v>458.76</v>
      </c>
    </row>
    <row r="549" spans="1:6" x14ac:dyDescent="0.25">
      <c r="A549" s="1">
        <v>548</v>
      </c>
      <c r="B549">
        <v>5.7112215850851689E-2</v>
      </c>
      <c r="C549">
        <f t="shared" si="32"/>
        <v>35.512828892043117</v>
      </c>
      <c r="D549" s="1">
        <f t="shared" si="33"/>
        <v>36</v>
      </c>
      <c r="E549" s="1">
        <f t="shared" si="34"/>
        <v>39</v>
      </c>
      <c r="F549" s="1">
        <f t="shared" si="35"/>
        <v>226.44</v>
      </c>
    </row>
    <row r="550" spans="1:6" x14ac:dyDescent="0.25">
      <c r="A550" s="1">
        <v>549</v>
      </c>
      <c r="B550">
        <v>0.45691349293044414</v>
      </c>
      <c r="C550">
        <f t="shared" si="32"/>
        <v>72.29468296924621</v>
      </c>
      <c r="D550" s="1">
        <f t="shared" si="33"/>
        <v>72</v>
      </c>
      <c r="E550" s="1">
        <f t="shared" si="34"/>
        <v>3</v>
      </c>
      <c r="F550" s="1">
        <f t="shared" si="35"/>
        <v>479.88</v>
      </c>
    </row>
    <row r="551" spans="1:6" x14ac:dyDescent="0.25">
      <c r="A551" s="1">
        <v>550</v>
      </c>
      <c r="B551">
        <v>0.22921516513848028</v>
      </c>
      <c r="C551">
        <f t="shared" si="32"/>
        <v>56.464149777687837</v>
      </c>
      <c r="D551" s="1">
        <f t="shared" si="33"/>
        <v>56</v>
      </c>
      <c r="E551" s="1">
        <f t="shared" si="34"/>
        <v>19</v>
      </c>
      <c r="F551" s="1">
        <f t="shared" si="35"/>
        <v>367.24</v>
      </c>
    </row>
    <row r="552" spans="1:6" x14ac:dyDescent="0.25">
      <c r="A552" s="1">
        <v>551</v>
      </c>
      <c r="B552">
        <v>0.16620640654503527</v>
      </c>
      <c r="C552">
        <f t="shared" si="32"/>
        <v>50.768366265020248</v>
      </c>
      <c r="D552" s="1">
        <f t="shared" si="33"/>
        <v>51</v>
      </c>
      <c r="E552" s="1">
        <f t="shared" si="34"/>
        <v>24</v>
      </c>
      <c r="F552" s="1">
        <f t="shared" si="35"/>
        <v>332.04</v>
      </c>
    </row>
    <row r="553" spans="1:6" x14ac:dyDescent="0.25">
      <c r="A553" s="1">
        <v>552</v>
      </c>
      <c r="B553">
        <v>0.34426331932107257</v>
      </c>
      <c r="C553">
        <f t="shared" si="32"/>
        <v>64.978616716979133</v>
      </c>
      <c r="D553" s="1">
        <f t="shared" si="33"/>
        <v>65</v>
      </c>
      <c r="E553" s="1">
        <f t="shared" si="34"/>
        <v>10</v>
      </c>
      <c r="F553" s="1">
        <f t="shared" si="35"/>
        <v>430.6</v>
      </c>
    </row>
    <row r="554" spans="1:6" x14ac:dyDescent="0.25">
      <c r="A554" s="1">
        <v>553</v>
      </c>
      <c r="B554">
        <v>0.7071175132707378</v>
      </c>
      <c r="C554">
        <f t="shared" si="32"/>
        <v>88.624583587903771</v>
      </c>
      <c r="D554" s="1">
        <f t="shared" si="33"/>
        <v>75</v>
      </c>
      <c r="E554" s="1">
        <f t="shared" si="34"/>
        <v>0</v>
      </c>
      <c r="F554" s="1">
        <f t="shared" si="35"/>
        <v>501</v>
      </c>
    </row>
    <row r="555" spans="1:6" x14ac:dyDescent="0.25">
      <c r="A555" s="1">
        <v>554</v>
      </c>
      <c r="B555">
        <v>0.42964148695178106</v>
      </c>
      <c r="C555">
        <f t="shared" si="32"/>
        <v>70.567825393256769</v>
      </c>
      <c r="D555" s="1">
        <f t="shared" si="33"/>
        <v>71</v>
      </c>
      <c r="E555" s="1">
        <f t="shared" si="34"/>
        <v>4</v>
      </c>
      <c r="F555" s="1">
        <f t="shared" si="35"/>
        <v>472.84</v>
      </c>
    </row>
    <row r="556" spans="1:6" x14ac:dyDescent="0.25">
      <c r="A556" s="1">
        <v>555</v>
      </c>
      <c r="B556">
        <v>1.6849623297446215E-2</v>
      </c>
      <c r="C556">
        <f t="shared" si="32"/>
        <v>21.908697819938439</v>
      </c>
      <c r="D556" s="1">
        <f t="shared" si="33"/>
        <v>22</v>
      </c>
      <c r="E556" s="1">
        <f t="shared" si="34"/>
        <v>53</v>
      </c>
      <c r="F556" s="1">
        <f t="shared" si="35"/>
        <v>127.88</v>
      </c>
    </row>
    <row r="557" spans="1:6" x14ac:dyDescent="0.25">
      <c r="A557" s="1">
        <v>556</v>
      </c>
      <c r="B557">
        <v>7.075652066992999E-2</v>
      </c>
      <c r="C557">
        <f t="shared" si="32"/>
        <v>38.245502900054404</v>
      </c>
      <c r="D557" s="1">
        <f t="shared" si="33"/>
        <v>38</v>
      </c>
      <c r="E557" s="1">
        <f t="shared" si="34"/>
        <v>37</v>
      </c>
      <c r="F557" s="1">
        <f t="shared" si="35"/>
        <v>240.52</v>
      </c>
    </row>
    <row r="558" spans="1:6" x14ac:dyDescent="0.25">
      <c r="A558" s="1">
        <v>557</v>
      </c>
      <c r="B558">
        <v>0.65073838308894516</v>
      </c>
      <c r="C558">
        <f t="shared" si="32"/>
        <v>84.682867849178507</v>
      </c>
      <c r="D558" s="1">
        <f t="shared" si="33"/>
        <v>75</v>
      </c>
      <c r="E558" s="1">
        <f t="shared" si="34"/>
        <v>0</v>
      </c>
      <c r="F558" s="1">
        <f t="shared" si="35"/>
        <v>501</v>
      </c>
    </row>
    <row r="559" spans="1:6" x14ac:dyDescent="0.25">
      <c r="A559" s="1">
        <v>558</v>
      </c>
      <c r="B559">
        <v>0.62282823098689044</v>
      </c>
      <c r="C559">
        <f t="shared" si="32"/>
        <v>82.822931040105487</v>
      </c>
      <c r="D559" s="1">
        <f t="shared" si="33"/>
        <v>75</v>
      </c>
      <c r="E559" s="1">
        <f t="shared" si="34"/>
        <v>0</v>
      </c>
      <c r="F559" s="1">
        <f t="shared" si="35"/>
        <v>501</v>
      </c>
    </row>
    <row r="560" spans="1:6" x14ac:dyDescent="0.25">
      <c r="A560" s="1">
        <v>559</v>
      </c>
      <c r="B560">
        <v>0.67384386838540089</v>
      </c>
      <c r="C560">
        <f t="shared" si="32"/>
        <v>86.263807110476677</v>
      </c>
      <c r="D560" s="1">
        <f t="shared" si="33"/>
        <v>75</v>
      </c>
      <c r="E560" s="1">
        <f t="shared" si="34"/>
        <v>0</v>
      </c>
      <c r="F560" s="1">
        <f t="shared" si="35"/>
        <v>501</v>
      </c>
    </row>
    <row r="561" spans="1:6" x14ac:dyDescent="0.25">
      <c r="A561" s="1">
        <v>560</v>
      </c>
      <c r="B561">
        <v>3.7545102124491914E-2</v>
      </c>
      <c r="C561">
        <f t="shared" si="32"/>
        <v>30.502175674549953</v>
      </c>
      <c r="D561" s="1">
        <f t="shared" si="33"/>
        <v>31</v>
      </c>
      <c r="E561" s="1">
        <f t="shared" si="34"/>
        <v>44</v>
      </c>
      <c r="F561" s="1">
        <f t="shared" si="35"/>
        <v>191.24</v>
      </c>
    </row>
    <row r="562" spans="1:6" x14ac:dyDescent="0.25">
      <c r="A562" s="1">
        <v>561</v>
      </c>
      <c r="B562">
        <v>0.51956517226217058</v>
      </c>
      <c r="C562">
        <f t="shared" si="32"/>
        <v>76.22655724815904</v>
      </c>
      <c r="D562" s="1">
        <f t="shared" si="33"/>
        <v>75</v>
      </c>
      <c r="E562" s="1">
        <f t="shared" si="34"/>
        <v>0</v>
      </c>
      <c r="F562" s="1">
        <f t="shared" si="35"/>
        <v>501</v>
      </c>
    </row>
    <row r="563" spans="1:6" x14ac:dyDescent="0.25">
      <c r="A563" s="1">
        <v>562</v>
      </c>
      <c r="B563">
        <v>0.62151080716970208</v>
      </c>
      <c r="C563">
        <f t="shared" si="32"/>
        <v>82.736278114066238</v>
      </c>
      <c r="D563" s="1">
        <f t="shared" si="33"/>
        <v>75</v>
      </c>
      <c r="E563" s="1">
        <f t="shared" si="34"/>
        <v>0</v>
      </c>
      <c r="F563" s="1">
        <f t="shared" si="35"/>
        <v>501</v>
      </c>
    </row>
    <row r="564" spans="1:6" x14ac:dyDescent="0.25">
      <c r="A564" s="1">
        <v>563</v>
      </c>
      <c r="B564">
        <v>0.36488834300485129</v>
      </c>
      <c r="C564">
        <f t="shared" si="32"/>
        <v>66.364434893018341</v>
      </c>
      <c r="D564" s="1">
        <f t="shared" si="33"/>
        <v>66</v>
      </c>
      <c r="E564" s="1">
        <f t="shared" si="34"/>
        <v>9</v>
      </c>
      <c r="F564" s="1">
        <f t="shared" si="35"/>
        <v>437.64</v>
      </c>
    </row>
    <row r="565" spans="1:6" x14ac:dyDescent="0.25">
      <c r="A565" s="1">
        <v>564</v>
      </c>
      <c r="B565">
        <v>0.72024809366599873</v>
      </c>
      <c r="C565">
        <f t="shared" si="32"/>
        <v>89.589466809824827</v>
      </c>
      <c r="D565" s="1">
        <f t="shared" si="33"/>
        <v>75</v>
      </c>
      <c r="E565" s="1">
        <f t="shared" si="34"/>
        <v>0</v>
      </c>
      <c r="F565" s="1">
        <f t="shared" si="35"/>
        <v>501</v>
      </c>
    </row>
    <row r="566" spans="1:6" x14ac:dyDescent="0.25">
      <c r="A566" s="1">
        <v>565</v>
      </c>
      <c r="B566">
        <v>0.20768707357865168</v>
      </c>
      <c r="C566">
        <f t="shared" si="32"/>
        <v>54.638179953320915</v>
      </c>
      <c r="D566" s="1">
        <f t="shared" si="33"/>
        <v>55</v>
      </c>
      <c r="E566" s="1">
        <f t="shared" si="34"/>
        <v>20</v>
      </c>
      <c r="F566" s="1">
        <f t="shared" si="35"/>
        <v>360.2</v>
      </c>
    </row>
    <row r="567" spans="1:6" x14ac:dyDescent="0.25">
      <c r="A567" s="1">
        <v>566</v>
      </c>
      <c r="B567">
        <v>0.99617195342804443</v>
      </c>
      <c r="C567">
        <f t="shared" si="32"/>
        <v>141.67178827975232</v>
      </c>
      <c r="D567" s="1">
        <f t="shared" si="33"/>
        <v>75</v>
      </c>
      <c r="E567" s="1">
        <f t="shared" si="34"/>
        <v>0</v>
      </c>
      <c r="F567" s="1">
        <f t="shared" si="35"/>
        <v>501</v>
      </c>
    </row>
    <row r="568" spans="1:6" x14ac:dyDescent="0.25">
      <c r="A568" s="1">
        <v>567</v>
      </c>
      <c r="B568">
        <v>0.66331809786460805</v>
      </c>
      <c r="C568">
        <f t="shared" si="32"/>
        <v>85.538397424810555</v>
      </c>
      <c r="D568" s="1">
        <f t="shared" si="33"/>
        <v>75</v>
      </c>
      <c r="E568" s="1">
        <f t="shared" si="34"/>
        <v>0</v>
      </c>
      <c r="F568" s="1">
        <f t="shared" si="35"/>
        <v>501</v>
      </c>
    </row>
    <row r="569" spans="1:6" x14ac:dyDescent="0.25">
      <c r="A569" s="1">
        <v>568</v>
      </c>
      <c r="B569">
        <v>0.13893960194489796</v>
      </c>
      <c r="C569">
        <f t="shared" si="32"/>
        <v>47.872603676292556</v>
      </c>
      <c r="D569" s="1">
        <f t="shared" si="33"/>
        <v>48</v>
      </c>
      <c r="E569" s="1">
        <f t="shared" si="34"/>
        <v>27</v>
      </c>
      <c r="F569" s="1">
        <f t="shared" si="35"/>
        <v>310.92</v>
      </c>
    </row>
    <row r="570" spans="1:6" x14ac:dyDescent="0.25">
      <c r="A570" s="1">
        <v>569</v>
      </c>
      <c r="B570">
        <v>0.32094316279783985</v>
      </c>
      <c r="C570">
        <f t="shared" si="32"/>
        <v>63.373424443738514</v>
      </c>
      <c r="D570" s="1">
        <f t="shared" si="33"/>
        <v>63</v>
      </c>
      <c r="E570" s="1">
        <f t="shared" si="34"/>
        <v>12</v>
      </c>
      <c r="F570" s="1">
        <f t="shared" si="35"/>
        <v>416.52</v>
      </c>
    </row>
    <row r="571" spans="1:6" x14ac:dyDescent="0.25">
      <c r="A571" s="1">
        <v>570</v>
      </c>
      <c r="B571">
        <v>0.16632277421786612</v>
      </c>
      <c r="C571">
        <f t="shared" si="32"/>
        <v>50.780028145783717</v>
      </c>
      <c r="D571" s="1">
        <f t="shared" si="33"/>
        <v>51</v>
      </c>
      <c r="E571" s="1">
        <f t="shared" si="34"/>
        <v>24</v>
      </c>
      <c r="F571" s="1">
        <f t="shared" si="35"/>
        <v>332.04</v>
      </c>
    </row>
    <row r="572" spans="1:6" x14ac:dyDescent="0.25">
      <c r="A572" s="1">
        <v>571</v>
      </c>
      <c r="B572">
        <v>0.659422186677871</v>
      </c>
      <c r="C572">
        <f t="shared" si="32"/>
        <v>85.272167111541393</v>
      </c>
      <c r="D572" s="1">
        <f t="shared" si="33"/>
        <v>75</v>
      </c>
      <c r="E572" s="1">
        <f t="shared" si="34"/>
        <v>0</v>
      </c>
      <c r="F572" s="1">
        <f t="shared" si="35"/>
        <v>501</v>
      </c>
    </row>
    <row r="573" spans="1:6" x14ac:dyDescent="0.25">
      <c r="A573" s="1">
        <v>572</v>
      </c>
      <c r="B573">
        <v>0.41811132769408366</v>
      </c>
      <c r="C573">
        <f t="shared" si="32"/>
        <v>69.831811731525974</v>
      </c>
      <c r="D573" s="1">
        <f t="shared" si="33"/>
        <v>70</v>
      </c>
      <c r="E573" s="1">
        <f t="shared" si="34"/>
        <v>5</v>
      </c>
      <c r="F573" s="1">
        <f t="shared" si="35"/>
        <v>465.8</v>
      </c>
    </row>
    <row r="574" spans="1:6" x14ac:dyDescent="0.25">
      <c r="A574" s="1">
        <v>573</v>
      </c>
      <c r="B574">
        <v>0.92003464591254014</v>
      </c>
      <c r="C574">
        <f t="shared" si="32"/>
        <v>110.13261608549686</v>
      </c>
      <c r="D574" s="1">
        <f t="shared" si="33"/>
        <v>75</v>
      </c>
      <c r="E574" s="1">
        <f t="shared" si="34"/>
        <v>0</v>
      </c>
      <c r="F574" s="1">
        <f t="shared" si="35"/>
        <v>501</v>
      </c>
    </row>
    <row r="575" spans="1:6" x14ac:dyDescent="0.25">
      <c r="A575" s="1">
        <v>574</v>
      </c>
      <c r="B575">
        <v>0.94889757913156403</v>
      </c>
      <c r="C575">
        <f t="shared" si="32"/>
        <v>115.85643175982716</v>
      </c>
      <c r="D575" s="1">
        <f t="shared" si="33"/>
        <v>75</v>
      </c>
      <c r="E575" s="1">
        <f t="shared" si="34"/>
        <v>0</v>
      </c>
      <c r="F575" s="1">
        <f t="shared" si="35"/>
        <v>501</v>
      </c>
    </row>
    <row r="576" spans="1:6" x14ac:dyDescent="0.25">
      <c r="A576" s="1">
        <v>575</v>
      </c>
      <c r="B576">
        <v>0.98567263328310062</v>
      </c>
      <c r="C576">
        <f t="shared" si="32"/>
        <v>129.7051042728059</v>
      </c>
      <c r="D576" s="1">
        <f t="shared" si="33"/>
        <v>75</v>
      </c>
      <c r="E576" s="1">
        <f t="shared" si="34"/>
        <v>0</v>
      </c>
      <c r="F576" s="1">
        <f t="shared" si="35"/>
        <v>501</v>
      </c>
    </row>
    <row r="577" spans="1:6" x14ac:dyDescent="0.25">
      <c r="A577" s="1">
        <v>576</v>
      </c>
      <c r="B577">
        <v>0.38124414724382683</v>
      </c>
      <c r="C577">
        <f t="shared" si="32"/>
        <v>67.444629075972159</v>
      </c>
      <c r="D577" s="1">
        <f t="shared" si="33"/>
        <v>67</v>
      </c>
      <c r="E577" s="1">
        <f t="shared" si="34"/>
        <v>8</v>
      </c>
      <c r="F577" s="1">
        <f t="shared" si="35"/>
        <v>444.68</v>
      </c>
    </row>
    <row r="578" spans="1:6" x14ac:dyDescent="0.25">
      <c r="A578" s="1">
        <v>577</v>
      </c>
      <c r="B578">
        <v>0.73714153303910368</v>
      </c>
      <c r="C578">
        <f t="shared" si="32"/>
        <v>90.863942104812736</v>
      </c>
      <c r="D578" s="1">
        <f t="shared" si="33"/>
        <v>75</v>
      </c>
      <c r="E578" s="1">
        <f t="shared" si="34"/>
        <v>0</v>
      </c>
      <c r="F578" s="1">
        <f t="shared" si="35"/>
        <v>501</v>
      </c>
    </row>
    <row r="579" spans="1:6" x14ac:dyDescent="0.25">
      <c r="A579" s="1">
        <v>578</v>
      </c>
      <c r="B579">
        <v>0.45456323178595182</v>
      </c>
      <c r="C579">
        <f t="shared" ref="C579:C642" si="36">_xlfn.NORM.INV(B579,75,25)</f>
        <v>72.146488948634186</v>
      </c>
      <c r="D579" s="1">
        <f t="shared" ref="D579:D642" si="37">MIN(ROUND(C579,0),$H$2)</f>
        <v>72</v>
      </c>
      <c r="E579" s="1">
        <f t="shared" ref="E579:E642" si="38">$H$2-D579</f>
        <v>3</v>
      </c>
      <c r="F579" s="1">
        <f t="shared" ref="F579:F642" si="39">7*D579-$H$2/25*8-E579/25*1</f>
        <v>479.88</v>
      </c>
    </row>
    <row r="580" spans="1:6" x14ac:dyDescent="0.25">
      <c r="A580" s="1">
        <v>579</v>
      </c>
      <c r="B580">
        <v>0.75036810428930045</v>
      </c>
      <c r="C580">
        <f t="shared" si="36"/>
        <v>91.891214443779063</v>
      </c>
      <c r="D580" s="1">
        <f t="shared" si="37"/>
        <v>75</v>
      </c>
      <c r="E580" s="1">
        <f t="shared" si="38"/>
        <v>0</v>
      </c>
      <c r="F580" s="1">
        <f t="shared" si="39"/>
        <v>501</v>
      </c>
    </row>
    <row r="581" spans="1:6" x14ac:dyDescent="0.25">
      <c r="A581" s="1">
        <v>580</v>
      </c>
      <c r="B581">
        <v>0.32714778631229902</v>
      </c>
      <c r="C581">
        <f t="shared" si="36"/>
        <v>63.804931737135462</v>
      </c>
      <c r="D581" s="1">
        <f t="shared" si="37"/>
        <v>64</v>
      </c>
      <c r="E581" s="1">
        <f t="shared" si="38"/>
        <v>11</v>
      </c>
      <c r="F581" s="1">
        <f t="shared" si="39"/>
        <v>423.56</v>
      </c>
    </row>
    <row r="582" spans="1:6" x14ac:dyDescent="0.25">
      <c r="A582" s="1">
        <v>581</v>
      </c>
      <c r="B582">
        <v>0.76833154445839547</v>
      </c>
      <c r="C582">
        <f t="shared" si="36"/>
        <v>93.334081095211729</v>
      </c>
      <c r="D582" s="1">
        <f t="shared" si="37"/>
        <v>75</v>
      </c>
      <c r="E582" s="1">
        <f t="shared" si="38"/>
        <v>0</v>
      </c>
      <c r="F582" s="1">
        <f t="shared" si="39"/>
        <v>501</v>
      </c>
    </row>
    <row r="583" spans="1:6" x14ac:dyDescent="0.25">
      <c r="A583" s="1">
        <v>582</v>
      </c>
      <c r="B583">
        <v>0.26090409291432681</v>
      </c>
      <c r="C583">
        <f t="shared" si="36"/>
        <v>58.985984263760656</v>
      </c>
      <c r="D583" s="1">
        <f t="shared" si="37"/>
        <v>59</v>
      </c>
      <c r="E583" s="1">
        <f t="shared" si="38"/>
        <v>16</v>
      </c>
      <c r="F583" s="1">
        <f t="shared" si="39"/>
        <v>388.36</v>
      </c>
    </row>
    <row r="584" spans="1:6" x14ac:dyDescent="0.25">
      <c r="A584" s="1">
        <v>583</v>
      </c>
      <c r="B584">
        <v>0.29884569382707382</v>
      </c>
      <c r="C584">
        <f t="shared" si="36"/>
        <v>61.806917092476326</v>
      </c>
      <c r="D584" s="1">
        <f t="shared" si="37"/>
        <v>62</v>
      </c>
      <c r="E584" s="1">
        <f t="shared" si="38"/>
        <v>13</v>
      </c>
      <c r="F584" s="1">
        <f t="shared" si="39"/>
        <v>409.48</v>
      </c>
    </row>
    <row r="585" spans="1:6" x14ac:dyDescent="0.25">
      <c r="A585" s="1">
        <v>584</v>
      </c>
      <c r="B585">
        <v>0.447997838671366</v>
      </c>
      <c r="C585">
        <f t="shared" si="36"/>
        <v>71.731964193692036</v>
      </c>
      <c r="D585" s="1">
        <f t="shared" si="37"/>
        <v>72</v>
      </c>
      <c r="E585" s="1">
        <f t="shared" si="38"/>
        <v>3</v>
      </c>
      <c r="F585" s="1">
        <f t="shared" si="39"/>
        <v>479.88</v>
      </c>
    </row>
    <row r="586" spans="1:6" x14ac:dyDescent="0.25">
      <c r="A586" s="1">
        <v>585</v>
      </c>
      <c r="B586">
        <v>0.51949483581042788</v>
      </c>
      <c r="C586">
        <f t="shared" si="36"/>
        <v>76.222144275699051</v>
      </c>
      <c r="D586" s="1">
        <f t="shared" si="37"/>
        <v>75</v>
      </c>
      <c r="E586" s="1">
        <f t="shared" si="38"/>
        <v>0</v>
      </c>
      <c r="F586" s="1">
        <f t="shared" si="39"/>
        <v>501</v>
      </c>
    </row>
    <row r="587" spans="1:6" x14ac:dyDescent="0.25">
      <c r="A587" s="1">
        <v>586</v>
      </c>
      <c r="B587">
        <v>0.22980466636274011</v>
      </c>
      <c r="C587">
        <f t="shared" si="36"/>
        <v>56.512742707585168</v>
      </c>
      <c r="D587" s="1">
        <f t="shared" si="37"/>
        <v>57</v>
      </c>
      <c r="E587" s="1">
        <f t="shared" si="38"/>
        <v>18</v>
      </c>
      <c r="F587" s="1">
        <f t="shared" si="39"/>
        <v>374.28</v>
      </c>
    </row>
    <row r="588" spans="1:6" x14ac:dyDescent="0.25">
      <c r="A588" s="1">
        <v>587</v>
      </c>
      <c r="B588">
        <v>1.4061594025828184E-2</v>
      </c>
      <c r="C588">
        <f t="shared" si="36"/>
        <v>20.110907924289947</v>
      </c>
      <c r="D588" s="1">
        <f t="shared" si="37"/>
        <v>20</v>
      </c>
      <c r="E588" s="1">
        <f t="shared" si="38"/>
        <v>55</v>
      </c>
      <c r="F588" s="1">
        <f t="shared" si="39"/>
        <v>113.8</v>
      </c>
    </row>
    <row r="589" spans="1:6" x14ac:dyDescent="0.25">
      <c r="A589" s="1">
        <v>588</v>
      </c>
      <c r="B589">
        <v>0.44080194665481909</v>
      </c>
      <c r="C589">
        <f t="shared" si="36"/>
        <v>71.276592370918792</v>
      </c>
      <c r="D589" s="1">
        <f t="shared" si="37"/>
        <v>71</v>
      </c>
      <c r="E589" s="1">
        <f t="shared" si="38"/>
        <v>4</v>
      </c>
      <c r="F589" s="1">
        <f t="shared" si="39"/>
        <v>472.84</v>
      </c>
    </row>
    <row r="590" spans="1:6" x14ac:dyDescent="0.25">
      <c r="A590" s="1">
        <v>589</v>
      </c>
      <c r="B590">
        <v>0.79316643112721341</v>
      </c>
      <c r="C590">
        <f t="shared" si="36"/>
        <v>95.436432672807939</v>
      </c>
      <c r="D590" s="1">
        <f t="shared" si="37"/>
        <v>75</v>
      </c>
      <c r="E590" s="1">
        <f t="shared" si="38"/>
        <v>0</v>
      </c>
      <c r="F590" s="1">
        <f t="shared" si="39"/>
        <v>501</v>
      </c>
    </row>
    <row r="591" spans="1:6" x14ac:dyDescent="0.25">
      <c r="A591" s="1">
        <v>590</v>
      </c>
      <c r="B591">
        <v>0.34868797916507688</v>
      </c>
      <c r="C591">
        <f t="shared" si="36"/>
        <v>65.278373106131212</v>
      </c>
      <c r="D591" s="1">
        <f t="shared" si="37"/>
        <v>65</v>
      </c>
      <c r="E591" s="1">
        <f t="shared" si="38"/>
        <v>10</v>
      </c>
      <c r="F591" s="1">
        <f t="shared" si="39"/>
        <v>430.6</v>
      </c>
    </row>
    <row r="592" spans="1:6" x14ac:dyDescent="0.25">
      <c r="A592" s="1">
        <v>591</v>
      </c>
      <c r="B592">
        <v>0.89268174102029052</v>
      </c>
      <c r="C592">
        <f t="shared" si="36"/>
        <v>106.0229178289768</v>
      </c>
      <c r="D592" s="1">
        <f t="shared" si="37"/>
        <v>75</v>
      </c>
      <c r="E592" s="1">
        <f t="shared" si="38"/>
        <v>0</v>
      </c>
      <c r="F592" s="1">
        <f t="shared" si="39"/>
        <v>501</v>
      </c>
    </row>
    <row r="593" spans="1:6" x14ac:dyDescent="0.25">
      <c r="A593" s="1">
        <v>592</v>
      </c>
      <c r="B593">
        <v>0.50514239649868864</v>
      </c>
      <c r="C593">
        <f t="shared" si="36"/>
        <v>75.322260836004588</v>
      </c>
      <c r="D593" s="1">
        <f t="shared" si="37"/>
        <v>75</v>
      </c>
      <c r="E593" s="1">
        <f t="shared" si="38"/>
        <v>0</v>
      </c>
      <c r="F593" s="1">
        <f t="shared" si="39"/>
        <v>501</v>
      </c>
    </row>
    <row r="594" spans="1:6" x14ac:dyDescent="0.25">
      <c r="A594" s="1">
        <v>593</v>
      </c>
      <c r="B594">
        <v>0.27329641031099405</v>
      </c>
      <c r="C594">
        <f t="shared" si="36"/>
        <v>59.928161536868863</v>
      </c>
      <c r="D594" s="1">
        <f t="shared" si="37"/>
        <v>60</v>
      </c>
      <c r="E594" s="1">
        <f t="shared" si="38"/>
        <v>15</v>
      </c>
      <c r="F594" s="1">
        <f t="shared" si="39"/>
        <v>395.4</v>
      </c>
    </row>
    <row r="595" spans="1:6" x14ac:dyDescent="0.25">
      <c r="A595" s="1">
        <v>594</v>
      </c>
      <c r="B595">
        <v>0.18847250100494783</v>
      </c>
      <c r="C595">
        <f t="shared" si="36"/>
        <v>52.911519509871191</v>
      </c>
      <c r="D595" s="1">
        <f t="shared" si="37"/>
        <v>53</v>
      </c>
      <c r="E595" s="1">
        <f t="shared" si="38"/>
        <v>22</v>
      </c>
      <c r="F595" s="1">
        <f t="shared" si="39"/>
        <v>346.12</v>
      </c>
    </row>
    <row r="596" spans="1:6" x14ac:dyDescent="0.25">
      <c r="A596" s="1">
        <v>595</v>
      </c>
      <c r="B596">
        <v>0.86635887803784584</v>
      </c>
      <c r="C596">
        <f t="shared" si="36"/>
        <v>102.73357487379292</v>
      </c>
      <c r="D596" s="1">
        <f t="shared" si="37"/>
        <v>75</v>
      </c>
      <c r="E596" s="1">
        <f t="shared" si="38"/>
        <v>0</v>
      </c>
      <c r="F596" s="1">
        <f t="shared" si="39"/>
        <v>501</v>
      </c>
    </row>
    <row r="597" spans="1:6" x14ac:dyDescent="0.25">
      <c r="A597" s="1">
        <v>596</v>
      </c>
      <c r="B597">
        <v>0.13888706608206725</v>
      </c>
      <c r="C597">
        <f t="shared" si="36"/>
        <v>47.866671445265162</v>
      </c>
      <c r="D597" s="1">
        <f t="shared" si="37"/>
        <v>48</v>
      </c>
      <c r="E597" s="1">
        <f t="shared" si="38"/>
        <v>27</v>
      </c>
      <c r="F597" s="1">
        <f t="shared" si="39"/>
        <v>310.92</v>
      </c>
    </row>
    <row r="598" spans="1:6" x14ac:dyDescent="0.25">
      <c r="A598" s="1">
        <v>597</v>
      </c>
      <c r="B598">
        <v>0.67241766293446048</v>
      </c>
      <c r="C598">
        <f t="shared" si="36"/>
        <v>86.164973048643063</v>
      </c>
      <c r="D598" s="1">
        <f t="shared" si="37"/>
        <v>75</v>
      </c>
      <c r="E598" s="1">
        <f t="shared" si="38"/>
        <v>0</v>
      </c>
      <c r="F598" s="1">
        <f t="shared" si="39"/>
        <v>501</v>
      </c>
    </row>
    <row r="599" spans="1:6" x14ac:dyDescent="0.25">
      <c r="A599" s="1">
        <v>598</v>
      </c>
      <c r="B599">
        <v>0.33538708216203472</v>
      </c>
      <c r="C599">
        <f t="shared" si="36"/>
        <v>64.372856208854259</v>
      </c>
      <c r="D599" s="1">
        <f t="shared" si="37"/>
        <v>64</v>
      </c>
      <c r="E599" s="1">
        <f t="shared" si="38"/>
        <v>11</v>
      </c>
      <c r="F599" s="1">
        <f t="shared" si="39"/>
        <v>423.56</v>
      </c>
    </row>
    <row r="600" spans="1:6" x14ac:dyDescent="0.25">
      <c r="A600" s="1">
        <v>599</v>
      </c>
      <c r="B600">
        <v>0.55956651511326583</v>
      </c>
      <c r="C600">
        <f t="shared" si="36"/>
        <v>78.746756689440929</v>
      </c>
      <c r="D600" s="1">
        <f t="shared" si="37"/>
        <v>75</v>
      </c>
      <c r="E600" s="1">
        <f t="shared" si="38"/>
        <v>0</v>
      </c>
      <c r="F600" s="1">
        <f t="shared" si="39"/>
        <v>501</v>
      </c>
    </row>
    <row r="601" spans="1:6" x14ac:dyDescent="0.25">
      <c r="A601" s="1">
        <v>600</v>
      </c>
      <c r="B601">
        <v>0.68064790374072703</v>
      </c>
      <c r="C601">
        <f t="shared" si="36"/>
        <v>86.737783100561472</v>
      </c>
      <c r="D601" s="1">
        <f t="shared" si="37"/>
        <v>75</v>
      </c>
      <c r="E601" s="1">
        <f t="shared" si="38"/>
        <v>0</v>
      </c>
      <c r="F601" s="1">
        <f t="shared" si="39"/>
        <v>501</v>
      </c>
    </row>
    <row r="602" spans="1:6" x14ac:dyDescent="0.25">
      <c r="A602" s="1">
        <v>601</v>
      </c>
      <c r="B602">
        <v>7.6462991486895948E-2</v>
      </c>
      <c r="C602">
        <f t="shared" si="36"/>
        <v>39.268192385924067</v>
      </c>
      <c r="D602" s="1">
        <f t="shared" si="37"/>
        <v>39</v>
      </c>
      <c r="E602" s="1">
        <f t="shared" si="38"/>
        <v>36</v>
      </c>
      <c r="F602" s="1">
        <f t="shared" si="39"/>
        <v>247.56</v>
      </c>
    </row>
    <row r="603" spans="1:6" x14ac:dyDescent="0.25">
      <c r="A603" s="1">
        <v>602</v>
      </c>
      <c r="B603">
        <v>0.66209155440306866</v>
      </c>
      <c r="C603">
        <f t="shared" si="36"/>
        <v>85.454453021151622</v>
      </c>
      <c r="D603" s="1">
        <f t="shared" si="37"/>
        <v>75</v>
      </c>
      <c r="E603" s="1">
        <f t="shared" si="38"/>
        <v>0</v>
      </c>
      <c r="F603" s="1">
        <f t="shared" si="39"/>
        <v>501</v>
      </c>
    </row>
    <row r="604" spans="1:6" x14ac:dyDescent="0.25">
      <c r="A604" s="1">
        <v>603</v>
      </c>
      <c r="B604">
        <v>0.61379756440746325</v>
      </c>
      <c r="C604">
        <f t="shared" si="36"/>
        <v>82.230766484997702</v>
      </c>
      <c r="D604" s="1">
        <f t="shared" si="37"/>
        <v>75</v>
      </c>
      <c r="E604" s="1">
        <f t="shared" si="38"/>
        <v>0</v>
      </c>
      <c r="F604" s="1">
        <f t="shared" si="39"/>
        <v>501</v>
      </c>
    </row>
    <row r="605" spans="1:6" x14ac:dyDescent="0.25">
      <c r="A605" s="1">
        <v>604</v>
      </c>
      <c r="B605">
        <v>0.94637115785596548</v>
      </c>
      <c r="C605">
        <f t="shared" si="36"/>
        <v>115.26606028351905</v>
      </c>
      <c r="D605" s="1">
        <f t="shared" si="37"/>
        <v>75</v>
      </c>
      <c r="E605" s="1">
        <f t="shared" si="38"/>
        <v>0</v>
      </c>
      <c r="F605" s="1">
        <f t="shared" si="39"/>
        <v>501</v>
      </c>
    </row>
    <row r="606" spans="1:6" x14ac:dyDescent="0.25">
      <c r="A606" s="1">
        <v>605</v>
      </c>
      <c r="B606">
        <v>0.75373791151025926</v>
      </c>
      <c r="C606">
        <f t="shared" si="36"/>
        <v>92.157490958843169</v>
      </c>
      <c r="D606" s="1">
        <f t="shared" si="37"/>
        <v>75</v>
      </c>
      <c r="E606" s="1">
        <f t="shared" si="38"/>
        <v>0</v>
      </c>
      <c r="F606" s="1">
        <f t="shared" si="39"/>
        <v>501</v>
      </c>
    </row>
    <row r="607" spans="1:6" x14ac:dyDescent="0.25">
      <c r="A607" s="1">
        <v>606</v>
      </c>
      <c r="B607">
        <v>0.59982972872958285</v>
      </c>
      <c r="C607">
        <f t="shared" si="36"/>
        <v>81.322660038523665</v>
      </c>
      <c r="D607" s="1">
        <f t="shared" si="37"/>
        <v>75</v>
      </c>
      <c r="E607" s="1">
        <f t="shared" si="38"/>
        <v>0</v>
      </c>
      <c r="F607" s="1">
        <f t="shared" si="39"/>
        <v>501</v>
      </c>
    </row>
    <row r="608" spans="1:6" x14ac:dyDescent="0.25">
      <c r="A608" s="1">
        <v>607</v>
      </c>
      <c r="B608">
        <v>0.57183946285834364</v>
      </c>
      <c r="C608">
        <f t="shared" si="36"/>
        <v>79.526481103319583</v>
      </c>
      <c r="D608" s="1">
        <f t="shared" si="37"/>
        <v>75</v>
      </c>
      <c r="E608" s="1">
        <f t="shared" si="38"/>
        <v>0</v>
      </c>
      <c r="F608" s="1">
        <f t="shared" si="39"/>
        <v>501</v>
      </c>
    </row>
    <row r="609" spans="1:6" x14ac:dyDescent="0.25">
      <c r="A609" s="1">
        <v>608</v>
      </c>
      <c r="B609">
        <v>0.46986924468054037</v>
      </c>
      <c r="C609">
        <f t="shared" si="36"/>
        <v>73.110036226869127</v>
      </c>
      <c r="D609" s="1">
        <f t="shared" si="37"/>
        <v>73</v>
      </c>
      <c r="E609" s="1">
        <f t="shared" si="38"/>
        <v>2</v>
      </c>
      <c r="F609" s="1">
        <f t="shared" si="39"/>
        <v>486.92</v>
      </c>
    </row>
    <row r="610" spans="1:6" x14ac:dyDescent="0.25">
      <c r="A610" s="1">
        <v>609</v>
      </c>
      <c r="B610">
        <v>0.38912699687408625</v>
      </c>
      <c r="C610">
        <f t="shared" si="36"/>
        <v>67.960122365932548</v>
      </c>
      <c r="D610" s="1">
        <f t="shared" si="37"/>
        <v>68</v>
      </c>
      <c r="E610" s="1">
        <f t="shared" si="38"/>
        <v>7</v>
      </c>
      <c r="F610" s="1">
        <f t="shared" si="39"/>
        <v>451.72</v>
      </c>
    </row>
    <row r="611" spans="1:6" x14ac:dyDescent="0.25">
      <c r="A611" s="1">
        <v>610</v>
      </c>
      <c r="B611">
        <v>0.845022459616112</v>
      </c>
      <c r="C611">
        <f t="shared" si="36"/>
        <v>100.38290729791802</v>
      </c>
      <c r="D611" s="1">
        <f t="shared" si="37"/>
        <v>75</v>
      </c>
      <c r="E611" s="1">
        <f t="shared" si="38"/>
        <v>0</v>
      </c>
      <c r="F611" s="1">
        <f t="shared" si="39"/>
        <v>501</v>
      </c>
    </row>
    <row r="612" spans="1:6" x14ac:dyDescent="0.25">
      <c r="A612" s="1">
        <v>611</v>
      </c>
      <c r="B612">
        <v>0.79229579153507879</v>
      </c>
      <c r="C612">
        <f t="shared" si="36"/>
        <v>95.360323987854414</v>
      </c>
      <c r="D612" s="1">
        <f t="shared" si="37"/>
        <v>75</v>
      </c>
      <c r="E612" s="1">
        <f t="shared" si="38"/>
        <v>0</v>
      </c>
      <c r="F612" s="1">
        <f t="shared" si="39"/>
        <v>501</v>
      </c>
    </row>
    <row r="613" spans="1:6" x14ac:dyDescent="0.25">
      <c r="A613" s="1">
        <v>612</v>
      </c>
      <c r="B613">
        <v>0.89190634877180608</v>
      </c>
      <c r="C613">
        <f t="shared" si="36"/>
        <v>105.91825234166949</v>
      </c>
      <c r="D613" s="1">
        <f t="shared" si="37"/>
        <v>75</v>
      </c>
      <c r="E613" s="1">
        <f t="shared" si="38"/>
        <v>0</v>
      </c>
      <c r="F613" s="1">
        <f t="shared" si="39"/>
        <v>501</v>
      </c>
    </row>
    <row r="614" spans="1:6" x14ac:dyDescent="0.25">
      <c r="A614" s="1">
        <v>613</v>
      </c>
      <c r="B614">
        <v>0.16161470214409268</v>
      </c>
      <c r="C614">
        <f t="shared" si="36"/>
        <v>50.303917835083112</v>
      </c>
      <c r="D614" s="1">
        <f t="shared" si="37"/>
        <v>50</v>
      </c>
      <c r="E614" s="1">
        <f t="shared" si="38"/>
        <v>25</v>
      </c>
      <c r="F614" s="1">
        <f t="shared" si="39"/>
        <v>325</v>
      </c>
    </row>
    <row r="615" spans="1:6" x14ac:dyDescent="0.25">
      <c r="A615" s="1">
        <v>614</v>
      </c>
      <c r="B615">
        <v>0.56864116288212319</v>
      </c>
      <c r="C615">
        <f t="shared" si="36"/>
        <v>79.322893024617272</v>
      </c>
      <c r="D615" s="1">
        <f t="shared" si="37"/>
        <v>75</v>
      </c>
      <c r="E615" s="1">
        <f t="shared" si="38"/>
        <v>0</v>
      </c>
      <c r="F615" s="1">
        <f t="shared" si="39"/>
        <v>501</v>
      </c>
    </row>
    <row r="616" spans="1:6" x14ac:dyDescent="0.25">
      <c r="A616" s="1">
        <v>615</v>
      </c>
      <c r="B616">
        <v>0.84168733110239713</v>
      </c>
      <c r="C616">
        <f t="shared" si="36"/>
        <v>100.03542038984352</v>
      </c>
      <c r="D616" s="1">
        <f t="shared" si="37"/>
        <v>75</v>
      </c>
      <c r="E616" s="1">
        <f t="shared" si="38"/>
        <v>0</v>
      </c>
      <c r="F616" s="1">
        <f t="shared" si="39"/>
        <v>501</v>
      </c>
    </row>
    <row r="617" spans="1:6" x14ac:dyDescent="0.25">
      <c r="A617" s="1">
        <v>616</v>
      </c>
      <c r="B617">
        <v>0.24365909699740373</v>
      </c>
      <c r="C617">
        <f t="shared" si="36"/>
        <v>57.635485817481197</v>
      </c>
      <c r="D617" s="1">
        <f t="shared" si="37"/>
        <v>58</v>
      </c>
      <c r="E617" s="1">
        <f t="shared" si="38"/>
        <v>17</v>
      </c>
      <c r="F617" s="1">
        <f t="shared" si="39"/>
        <v>381.32</v>
      </c>
    </row>
    <row r="618" spans="1:6" x14ac:dyDescent="0.25">
      <c r="A618" s="1">
        <v>617</v>
      </c>
      <c r="B618">
        <v>0.55735687393994615</v>
      </c>
      <c r="C618">
        <f t="shared" si="36"/>
        <v>78.606782131096821</v>
      </c>
      <c r="D618" s="1">
        <f t="shared" si="37"/>
        <v>75</v>
      </c>
      <c r="E618" s="1">
        <f t="shared" si="38"/>
        <v>0</v>
      </c>
      <c r="F618" s="1">
        <f t="shared" si="39"/>
        <v>501</v>
      </c>
    </row>
    <row r="619" spans="1:6" x14ac:dyDescent="0.25">
      <c r="A619" s="1">
        <v>618</v>
      </c>
      <c r="B619">
        <v>9.1915590028879279E-3</v>
      </c>
      <c r="C619">
        <f t="shared" si="36"/>
        <v>16.054759488725054</v>
      </c>
      <c r="D619" s="1">
        <f t="shared" si="37"/>
        <v>16</v>
      </c>
      <c r="E619" s="1">
        <f t="shared" si="38"/>
        <v>59</v>
      </c>
      <c r="F619" s="1">
        <f t="shared" si="39"/>
        <v>85.64</v>
      </c>
    </row>
    <row r="620" spans="1:6" x14ac:dyDescent="0.25">
      <c r="A620" s="1">
        <v>619</v>
      </c>
      <c r="B620">
        <v>9.1016882862221649E-2</v>
      </c>
      <c r="C620">
        <f t="shared" si="36"/>
        <v>41.637020532774201</v>
      </c>
      <c r="D620" s="1">
        <f t="shared" si="37"/>
        <v>42</v>
      </c>
      <c r="E620" s="1">
        <f t="shared" si="38"/>
        <v>33</v>
      </c>
      <c r="F620" s="1">
        <f t="shared" si="39"/>
        <v>268.68</v>
      </c>
    </row>
    <row r="621" spans="1:6" x14ac:dyDescent="0.25">
      <c r="A621" s="1">
        <v>620</v>
      </c>
      <c r="B621">
        <v>0.18152353241021435</v>
      </c>
      <c r="C621">
        <f t="shared" si="36"/>
        <v>52.260642857954011</v>
      </c>
      <c r="D621" s="1">
        <f t="shared" si="37"/>
        <v>52</v>
      </c>
      <c r="E621" s="1">
        <f t="shared" si="38"/>
        <v>23</v>
      </c>
      <c r="F621" s="1">
        <f t="shared" si="39"/>
        <v>339.08</v>
      </c>
    </row>
    <row r="622" spans="1:6" x14ac:dyDescent="0.25">
      <c r="A622" s="1">
        <v>621</v>
      </c>
      <c r="B622">
        <v>0.35493866228533499</v>
      </c>
      <c r="C622">
        <f t="shared" si="36"/>
        <v>65.699478713149446</v>
      </c>
      <c r="D622" s="1">
        <f t="shared" si="37"/>
        <v>66</v>
      </c>
      <c r="E622" s="1">
        <f t="shared" si="38"/>
        <v>9</v>
      </c>
      <c r="F622" s="1">
        <f t="shared" si="39"/>
        <v>437.64</v>
      </c>
    </row>
    <row r="623" spans="1:6" x14ac:dyDescent="0.25">
      <c r="A623" s="1">
        <v>622</v>
      </c>
      <c r="B623">
        <v>0.38947869443547667</v>
      </c>
      <c r="C623">
        <f t="shared" si="36"/>
        <v>67.983050153292936</v>
      </c>
      <c r="D623" s="1">
        <f t="shared" si="37"/>
        <v>68</v>
      </c>
      <c r="E623" s="1">
        <f t="shared" si="38"/>
        <v>7</v>
      </c>
      <c r="F623" s="1">
        <f t="shared" si="39"/>
        <v>451.72</v>
      </c>
    </row>
    <row r="624" spans="1:6" x14ac:dyDescent="0.25">
      <c r="A624" s="1">
        <v>623</v>
      </c>
      <c r="B624">
        <v>0.9198319774301521</v>
      </c>
      <c r="C624">
        <f t="shared" si="36"/>
        <v>110.09855641250167</v>
      </c>
      <c r="D624" s="1">
        <f t="shared" si="37"/>
        <v>75</v>
      </c>
      <c r="E624" s="1">
        <f t="shared" si="38"/>
        <v>0</v>
      </c>
      <c r="F624" s="1">
        <f t="shared" si="39"/>
        <v>501</v>
      </c>
    </row>
    <row r="625" spans="1:6" x14ac:dyDescent="0.25">
      <c r="A625" s="1">
        <v>624</v>
      </c>
      <c r="B625">
        <v>0.52601402986081114</v>
      </c>
      <c r="C625">
        <f t="shared" si="36"/>
        <v>76.631344556687239</v>
      </c>
      <c r="D625" s="1">
        <f t="shared" si="37"/>
        <v>75</v>
      </c>
      <c r="E625" s="1">
        <f t="shared" si="38"/>
        <v>0</v>
      </c>
      <c r="F625" s="1">
        <f t="shared" si="39"/>
        <v>501</v>
      </c>
    </row>
    <row r="626" spans="1:6" x14ac:dyDescent="0.25">
      <c r="A626" s="1">
        <v>625</v>
      </c>
      <c r="B626">
        <v>0.38503148517128072</v>
      </c>
      <c r="C626">
        <f t="shared" si="36"/>
        <v>67.69268676900866</v>
      </c>
      <c r="D626" s="1">
        <f t="shared" si="37"/>
        <v>68</v>
      </c>
      <c r="E626" s="1">
        <f t="shared" si="38"/>
        <v>7</v>
      </c>
      <c r="F626" s="1">
        <f t="shared" si="39"/>
        <v>451.72</v>
      </c>
    </row>
    <row r="627" spans="1:6" x14ac:dyDescent="0.25">
      <c r="A627" s="1">
        <v>626</v>
      </c>
      <c r="B627">
        <v>0.9166217434599746</v>
      </c>
      <c r="C627">
        <f t="shared" si="36"/>
        <v>109.56752924509794</v>
      </c>
      <c r="D627" s="1">
        <f t="shared" si="37"/>
        <v>75</v>
      </c>
      <c r="E627" s="1">
        <f t="shared" si="38"/>
        <v>0</v>
      </c>
      <c r="F627" s="1">
        <f t="shared" si="39"/>
        <v>501</v>
      </c>
    </row>
    <row r="628" spans="1:6" x14ac:dyDescent="0.25">
      <c r="A628" s="1">
        <v>627</v>
      </c>
      <c r="B628">
        <v>0.8418187950719066</v>
      </c>
      <c r="C628">
        <f t="shared" si="36"/>
        <v>100.04902600043333</v>
      </c>
      <c r="D628" s="1">
        <f t="shared" si="37"/>
        <v>75</v>
      </c>
      <c r="E628" s="1">
        <f t="shared" si="38"/>
        <v>0</v>
      </c>
      <c r="F628" s="1">
        <f t="shared" si="39"/>
        <v>501</v>
      </c>
    </row>
    <row r="629" spans="1:6" x14ac:dyDescent="0.25">
      <c r="A629" s="1">
        <v>628</v>
      </c>
      <c r="B629">
        <v>0.438885891014413</v>
      </c>
      <c r="C629">
        <f t="shared" si="36"/>
        <v>71.155137862129678</v>
      </c>
      <c r="D629" s="1">
        <f t="shared" si="37"/>
        <v>71</v>
      </c>
      <c r="E629" s="1">
        <f t="shared" si="38"/>
        <v>4</v>
      </c>
      <c r="F629" s="1">
        <f t="shared" si="39"/>
        <v>472.84</v>
      </c>
    </row>
    <row r="630" spans="1:6" x14ac:dyDescent="0.25">
      <c r="A630" s="1">
        <v>629</v>
      </c>
      <c r="B630">
        <v>1.599431504279325E-2</v>
      </c>
      <c r="C630">
        <f t="shared" si="36"/>
        <v>21.386183284790562</v>
      </c>
      <c r="D630" s="1">
        <f t="shared" si="37"/>
        <v>21</v>
      </c>
      <c r="E630" s="1">
        <f t="shared" si="38"/>
        <v>54</v>
      </c>
      <c r="F630" s="1">
        <f t="shared" si="39"/>
        <v>120.84</v>
      </c>
    </row>
    <row r="631" spans="1:6" x14ac:dyDescent="0.25">
      <c r="A631" s="1">
        <v>630</v>
      </c>
      <c r="B631">
        <v>0.34447872189155215</v>
      </c>
      <c r="C631">
        <f t="shared" si="36"/>
        <v>64.993242604449918</v>
      </c>
      <c r="D631" s="1">
        <f t="shared" si="37"/>
        <v>65</v>
      </c>
      <c r="E631" s="1">
        <f t="shared" si="38"/>
        <v>10</v>
      </c>
      <c r="F631" s="1">
        <f t="shared" si="39"/>
        <v>430.6</v>
      </c>
    </row>
    <row r="632" spans="1:6" x14ac:dyDescent="0.25">
      <c r="A632" s="1">
        <v>631</v>
      </c>
      <c r="B632">
        <v>0.96690442887769457</v>
      </c>
      <c r="C632">
        <f t="shared" si="36"/>
        <v>120.92817616478592</v>
      </c>
      <c r="D632" s="1">
        <f t="shared" si="37"/>
        <v>75</v>
      </c>
      <c r="E632" s="1">
        <f t="shared" si="38"/>
        <v>0</v>
      </c>
      <c r="F632" s="1">
        <f t="shared" si="39"/>
        <v>501</v>
      </c>
    </row>
    <row r="633" spans="1:6" x14ac:dyDescent="0.25">
      <c r="A633" s="1">
        <v>632</v>
      </c>
      <c r="B633">
        <v>0.33149218571657468</v>
      </c>
      <c r="C633">
        <f t="shared" si="36"/>
        <v>64.105087085325223</v>
      </c>
      <c r="D633" s="1">
        <f t="shared" si="37"/>
        <v>64</v>
      </c>
      <c r="E633" s="1">
        <f t="shared" si="38"/>
        <v>11</v>
      </c>
      <c r="F633" s="1">
        <f t="shared" si="39"/>
        <v>423.56</v>
      </c>
    </row>
    <row r="634" spans="1:6" x14ac:dyDescent="0.25">
      <c r="A634" s="1">
        <v>633</v>
      </c>
      <c r="B634">
        <v>0.56228980798176842</v>
      </c>
      <c r="C634">
        <f t="shared" si="36"/>
        <v>78.919431850895876</v>
      </c>
      <c r="D634" s="1">
        <f t="shared" si="37"/>
        <v>75</v>
      </c>
      <c r="E634" s="1">
        <f t="shared" si="38"/>
        <v>0</v>
      </c>
      <c r="F634" s="1">
        <f t="shared" si="39"/>
        <v>501</v>
      </c>
    </row>
    <row r="635" spans="1:6" x14ac:dyDescent="0.25">
      <c r="A635" s="1">
        <v>634</v>
      </c>
      <c r="B635">
        <v>0.59779782040584883</v>
      </c>
      <c r="C635">
        <f t="shared" si="36"/>
        <v>81.191277845776071</v>
      </c>
      <c r="D635" s="1">
        <f t="shared" si="37"/>
        <v>75</v>
      </c>
      <c r="E635" s="1">
        <f t="shared" si="38"/>
        <v>0</v>
      </c>
      <c r="F635" s="1">
        <f t="shared" si="39"/>
        <v>501</v>
      </c>
    </row>
    <row r="636" spans="1:6" x14ac:dyDescent="0.25">
      <c r="A636" s="1">
        <v>635</v>
      </c>
      <c r="B636">
        <v>0.52464147076261902</v>
      </c>
      <c r="C636">
        <f t="shared" si="36"/>
        <v>76.545158376882739</v>
      </c>
      <c r="D636" s="1">
        <f t="shared" si="37"/>
        <v>75</v>
      </c>
      <c r="E636" s="1">
        <f t="shared" si="38"/>
        <v>0</v>
      </c>
      <c r="F636" s="1">
        <f t="shared" si="39"/>
        <v>501</v>
      </c>
    </row>
    <row r="637" spans="1:6" x14ac:dyDescent="0.25">
      <c r="A637" s="1">
        <v>636</v>
      </c>
      <c r="B637">
        <v>0.26151562326108269</v>
      </c>
      <c r="C637">
        <f t="shared" si="36"/>
        <v>59.033004626663974</v>
      </c>
      <c r="D637" s="1">
        <f t="shared" si="37"/>
        <v>59</v>
      </c>
      <c r="E637" s="1">
        <f t="shared" si="38"/>
        <v>16</v>
      </c>
      <c r="F637" s="1">
        <f t="shared" si="39"/>
        <v>388.36</v>
      </c>
    </row>
    <row r="638" spans="1:6" x14ac:dyDescent="0.25">
      <c r="A638" s="1">
        <v>637</v>
      </c>
      <c r="B638">
        <v>0.58476357561446712</v>
      </c>
      <c r="C638">
        <f t="shared" si="36"/>
        <v>80.35237904121422</v>
      </c>
      <c r="D638" s="1">
        <f t="shared" si="37"/>
        <v>75</v>
      </c>
      <c r="E638" s="1">
        <f t="shared" si="38"/>
        <v>0</v>
      </c>
      <c r="F638" s="1">
        <f t="shared" si="39"/>
        <v>501</v>
      </c>
    </row>
    <row r="639" spans="1:6" x14ac:dyDescent="0.25">
      <c r="A639" s="1">
        <v>638</v>
      </c>
      <c r="B639">
        <v>0.82526977268845525</v>
      </c>
      <c r="C639">
        <f t="shared" si="36"/>
        <v>98.390908638740711</v>
      </c>
      <c r="D639" s="1">
        <f t="shared" si="37"/>
        <v>75</v>
      </c>
      <c r="E639" s="1">
        <f t="shared" si="38"/>
        <v>0</v>
      </c>
      <c r="F639" s="1">
        <f t="shared" si="39"/>
        <v>501</v>
      </c>
    </row>
    <row r="640" spans="1:6" x14ac:dyDescent="0.25">
      <c r="A640" s="1">
        <v>639</v>
      </c>
      <c r="B640">
        <v>0.76952122380016363</v>
      </c>
      <c r="C640">
        <f t="shared" si="36"/>
        <v>93.431775481858807</v>
      </c>
      <c r="D640" s="1">
        <f t="shared" si="37"/>
        <v>75</v>
      </c>
      <c r="E640" s="1">
        <f t="shared" si="38"/>
        <v>0</v>
      </c>
      <c r="F640" s="1">
        <f t="shared" si="39"/>
        <v>501</v>
      </c>
    </row>
    <row r="641" spans="1:6" x14ac:dyDescent="0.25">
      <c r="A641" s="1">
        <v>640</v>
      </c>
      <c r="B641">
        <v>0.29508441979666644</v>
      </c>
      <c r="C641">
        <f t="shared" si="36"/>
        <v>61.535215603596669</v>
      </c>
      <c r="D641" s="1">
        <f t="shared" si="37"/>
        <v>62</v>
      </c>
      <c r="E641" s="1">
        <f t="shared" si="38"/>
        <v>13</v>
      </c>
      <c r="F641" s="1">
        <f t="shared" si="39"/>
        <v>409.48</v>
      </c>
    </row>
    <row r="642" spans="1:6" x14ac:dyDescent="0.25">
      <c r="A642" s="1">
        <v>641</v>
      </c>
      <c r="B642">
        <v>0.76367256328448174</v>
      </c>
      <c r="C642">
        <f t="shared" si="36"/>
        <v>92.954152667715007</v>
      </c>
      <c r="D642" s="1">
        <f t="shared" si="37"/>
        <v>75</v>
      </c>
      <c r="E642" s="1">
        <f t="shared" si="38"/>
        <v>0</v>
      </c>
      <c r="F642" s="1">
        <f t="shared" si="39"/>
        <v>501</v>
      </c>
    </row>
    <row r="643" spans="1:6" x14ac:dyDescent="0.25">
      <c r="A643" s="1">
        <v>642</v>
      </c>
      <c r="B643">
        <v>0.93443899414102138</v>
      </c>
      <c r="C643">
        <f t="shared" ref="C643:C706" si="40">_xlfn.NORM.INV(B643,75,25)</f>
        <v>112.7423021382601</v>
      </c>
      <c r="D643" s="1">
        <f t="shared" ref="D643:D706" si="41">MIN(ROUND(C643,0),$H$2)</f>
        <v>75</v>
      </c>
      <c r="E643" s="1">
        <f t="shared" ref="E643:E706" si="42">$H$2-D643</f>
        <v>0</v>
      </c>
      <c r="F643" s="1">
        <f t="shared" ref="F643:F706" si="43">7*D643-$H$2/25*8-E643/25*1</f>
        <v>501</v>
      </c>
    </row>
    <row r="644" spans="1:6" x14ac:dyDescent="0.25">
      <c r="A644" s="1">
        <v>643</v>
      </c>
      <c r="B644">
        <v>0.47949847551720715</v>
      </c>
      <c r="C644">
        <f t="shared" si="40"/>
        <v>73.714691473467553</v>
      </c>
      <c r="D644" s="1">
        <f t="shared" si="41"/>
        <v>74</v>
      </c>
      <c r="E644" s="1">
        <f t="shared" si="42"/>
        <v>1</v>
      </c>
      <c r="F644" s="1">
        <f t="shared" si="43"/>
        <v>493.96</v>
      </c>
    </row>
    <row r="645" spans="1:6" x14ac:dyDescent="0.25">
      <c r="A645" s="1">
        <v>644</v>
      </c>
      <c r="B645">
        <v>0.1694320975817093</v>
      </c>
      <c r="C645">
        <f t="shared" si="40"/>
        <v>51.089703501238148</v>
      </c>
      <c r="D645" s="1">
        <f t="shared" si="41"/>
        <v>51</v>
      </c>
      <c r="E645" s="1">
        <f t="shared" si="42"/>
        <v>24</v>
      </c>
      <c r="F645" s="1">
        <f t="shared" si="43"/>
        <v>332.04</v>
      </c>
    </row>
    <row r="646" spans="1:6" x14ac:dyDescent="0.25">
      <c r="A646" s="1">
        <v>645</v>
      </c>
      <c r="B646">
        <v>0.33696396284765462</v>
      </c>
      <c r="C646">
        <f t="shared" si="40"/>
        <v>64.480917245624454</v>
      </c>
      <c r="D646" s="1">
        <f t="shared" si="41"/>
        <v>64</v>
      </c>
      <c r="E646" s="1">
        <f t="shared" si="42"/>
        <v>11</v>
      </c>
      <c r="F646" s="1">
        <f t="shared" si="43"/>
        <v>423.56</v>
      </c>
    </row>
    <row r="647" spans="1:6" x14ac:dyDescent="0.25">
      <c r="A647" s="1">
        <v>646</v>
      </c>
      <c r="B647">
        <v>0.34517206562215597</v>
      </c>
      <c r="C647">
        <f t="shared" si="40"/>
        <v>65.040297597683534</v>
      </c>
      <c r="D647" s="1">
        <f t="shared" si="41"/>
        <v>65</v>
      </c>
      <c r="E647" s="1">
        <f t="shared" si="42"/>
        <v>10</v>
      </c>
      <c r="F647" s="1">
        <f t="shared" si="43"/>
        <v>430.6</v>
      </c>
    </row>
    <row r="648" spans="1:6" x14ac:dyDescent="0.25">
      <c r="A648" s="1">
        <v>647</v>
      </c>
      <c r="B648">
        <v>6.1089940965336487E-3</v>
      </c>
      <c r="C648">
        <f t="shared" si="40"/>
        <v>12.355374557541097</v>
      </c>
      <c r="D648" s="1">
        <f t="shared" si="41"/>
        <v>12</v>
      </c>
      <c r="E648" s="1">
        <f t="shared" si="42"/>
        <v>63</v>
      </c>
      <c r="F648" s="1">
        <f t="shared" si="43"/>
        <v>57.48</v>
      </c>
    </row>
    <row r="649" spans="1:6" x14ac:dyDescent="0.25">
      <c r="A649" s="1">
        <v>648</v>
      </c>
      <c r="B649">
        <v>0.57610551284235034</v>
      </c>
      <c r="C649">
        <f t="shared" si="40"/>
        <v>79.798507345002903</v>
      </c>
      <c r="D649" s="1">
        <f t="shared" si="41"/>
        <v>75</v>
      </c>
      <c r="E649" s="1">
        <f t="shared" si="42"/>
        <v>0</v>
      </c>
      <c r="F649" s="1">
        <f t="shared" si="43"/>
        <v>501</v>
      </c>
    </row>
    <row r="650" spans="1:6" x14ac:dyDescent="0.25">
      <c r="A650" s="1">
        <v>649</v>
      </c>
      <c r="B650">
        <v>0.62944781232900326</v>
      </c>
      <c r="C650">
        <f t="shared" si="40"/>
        <v>83.259780483582091</v>
      </c>
      <c r="D650" s="1">
        <f t="shared" si="41"/>
        <v>75</v>
      </c>
      <c r="E650" s="1">
        <f t="shared" si="42"/>
        <v>0</v>
      </c>
      <c r="F650" s="1">
        <f t="shared" si="43"/>
        <v>501</v>
      </c>
    </row>
    <row r="651" spans="1:6" x14ac:dyDescent="0.25">
      <c r="A651" s="1">
        <v>650</v>
      </c>
      <c r="B651">
        <v>0.90560780846013789</v>
      </c>
      <c r="C651">
        <f t="shared" si="40"/>
        <v>107.85459319629786</v>
      </c>
      <c r="D651" s="1">
        <f t="shared" si="41"/>
        <v>75</v>
      </c>
      <c r="E651" s="1">
        <f t="shared" si="42"/>
        <v>0</v>
      </c>
      <c r="F651" s="1">
        <f t="shared" si="43"/>
        <v>501</v>
      </c>
    </row>
    <row r="652" spans="1:6" x14ac:dyDescent="0.25">
      <c r="A652" s="1">
        <v>651</v>
      </c>
      <c r="B652">
        <v>0.46187722899370953</v>
      </c>
      <c r="C652">
        <f t="shared" si="40"/>
        <v>72.607362040462846</v>
      </c>
      <c r="D652" s="1">
        <f t="shared" si="41"/>
        <v>73</v>
      </c>
      <c r="E652" s="1">
        <f t="shared" si="42"/>
        <v>2</v>
      </c>
      <c r="F652" s="1">
        <f t="shared" si="43"/>
        <v>486.92</v>
      </c>
    </row>
    <row r="653" spans="1:6" x14ac:dyDescent="0.25">
      <c r="A653" s="1">
        <v>652</v>
      </c>
      <c r="B653">
        <v>0.97359460944852327</v>
      </c>
      <c r="C653">
        <f t="shared" si="40"/>
        <v>123.41162379596622</v>
      </c>
      <c r="D653" s="1">
        <f t="shared" si="41"/>
        <v>75</v>
      </c>
      <c r="E653" s="1">
        <f t="shared" si="42"/>
        <v>0</v>
      </c>
      <c r="F653" s="1">
        <f t="shared" si="43"/>
        <v>501</v>
      </c>
    </row>
    <row r="654" spans="1:6" x14ac:dyDescent="0.25">
      <c r="A654" s="1">
        <v>653</v>
      </c>
      <c r="B654">
        <v>0.79559100268727767</v>
      </c>
      <c r="C654">
        <f t="shared" si="40"/>
        <v>95.649387293148308</v>
      </c>
      <c r="D654" s="1">
        <f t="shared" si="41"/>
        <v>75</v>
      </c>
      <c r="E654" s="1">
        <f t="shared" si="42"/>
        <v>0</v>
      </c>
      <c r="F654" s="1">
        <f t="shared" si="43"/>
        <v>501</v>
      </c>
    </row>
    <row r="655" spans="1:6" x14ac:dyDescent="0.25">
      <c r="A655" s="1">
        <v>654</v>
      </c>
      <c r="B655">
        <v>0.8375169495560324</v>
      </c>
      <c r="C655">
        <f t="shared" si="40"/>
        <v>99.607598091696374</v>
      </c>
      <c r="D655" s="1">
        <f t="shared" si="41"/>
        <v>75</v>
      </c>
      <c r="E655" s="1">
        <f t="shared" si="42"/>
        <v>0</v>
      </c>
      <c r="F655" s="1">
        <f t="shared" si="43"/>
        <v>501</v>
      </c>
    </row>
    <row r="656" spans="1:6" x14ac:dyDescent="0.25">
      <c r="A656" s="1">
        <v>655</v>
      </c>
      <c r="B656">
        <v>0.36431641237730994</v>
      </c>
      <c r="C656">
        <f t="shared" si="40"/>
        <v>66.326381188562479</v>
      </c>
      <c r="D656" s="1">
        <f t="shared" si="41"/>
        <v>66</v>
      </c>
      <c r="E656" s="1">
        <f t="shared" si="42"/>
        <v>9</v>
      </c>
      <c r="F656" s="1">
        <f t="shared" si="43"/>
        <v>437.64</v>
      </c>
    </row>
    <row r="657" spans="1:6" x14ac:dyDescent="0.25">
      <c r="A657" s="1">
        <v>656</v>
      </c>
      <c r="B657">
        <v>0.57055945527121021</v>
      </c>
      <c r="C657">
        <f t="shared" si="40"/>
        <v>79.444966827548697</v>
      </c>
      <c r="D657" s="1">
        <f t="shared" si="41"/>
        <v>75</v>
      </c>
      <c r="E657" s="1">
        <f t="shared" si="42"/>
        <v>0</v>
      </c>
      <c r="F657" s="1">
        <f t="shared" si="43"/>
        <v>501</v>
      </c>
    </row>
    <row r="658" spans="1:6" x14ac:dyDescent="0.25">
      <c r="A658" s="1">
        <v>657</v>
      </c>
      <c r="B658">
        <v>0.88984228173060942</v>
      </c>
      <c r="C658">
        <f t="shared" si="40"/>
        <v>105.64224457030861</v>
      </c>
      <c r="D658" s="1">
        <f t="shared" si="41"/>
        <v>75</v>
      </c>
      <c r="E658" s="1">
        <f t="shared" si="42"/>
        <v>0</v>
      </c>
      <c r="F658" s="1">
        <f t="shared" si="43"/>
        <v>501</v>
      </c>
    </row>
    <row r="659" spans="1:6" x14ac:dyDescent="0.25">
      <c r="A659" s="1">
        <v>658</v>
      </c>
      <c r="B659">
        <v>0.39167702512380365</v>
      </c>
      <c r="C659">
        <f t="shared" si="40"/>
        <v>68.126230403996587</v>
      </c>
      <c r="D659" s="1">
        <f t="shared" si="41"/>
        <v>68</v>
      </c>
      <c r="E659" s="1">
        <f t="shared" si="42"/>
        <v>7</v>
      </c>
      <c r="F659" s="1">
        <f t="shared" si="43"/>
        <v>451.72</v>
      </c>
    </row>
    <row r="660" spans="1:6" x14ac:dyDescent="0.25">
      <c r="A660" s="1">
        <v>659</v>
      </c>
      <c r="B660">
        <v>6.4968028771204778E-2</v>
      </c>
      <c r="C660">
        <f t="shared" si="40"/>
        <v>37.14114783661114</v>
      </c>
      <c r="D660" s="1">
        <f t="shared" si="41"/>
        <v>37</v>
      </c>
      <c r="E660" s="1">
        <f t="shared" si="42"/>
        <v>38</v>
      </c>
      <c r="F660" s="1">
        <f t="shared" si="43"/>
        <v>233.48</v>
      </c>
    </row>
    <row r="661" spans="1:6" x14ac:dyDescent="0.25">
      <c r="A661" s="1">
        <v>660</v>
      </c>
      <c r="B661">
        <v>0.80967105558147578</v>
      </c>
      <c r="C661">
        <f t="shared" si="40"/>
        <v>96.917118902945532</v>
      </c>
      <c r="D661" s="1">
        <f t="shared" si="41"/>
        <v>75</v>
      </c>
      <c r="E661" s="1">
        <f t="shared" si="42"/>
        <v>0</v>
      </c>
      <c r="F661" s="1">
        <f t="shared" si="43"/>
        <v>501</v>
      </c>
    </row>
    <row r="662" spans="1:6" x14ac:dyDescent="0.25">
      <c r="A662" s="1">
        <v>661</v>
      </c>
      <c r="B662">
        <v>0.51945816038014403</v>
      </c>
      <c r="C662">
        <f t="shared" si="40"/>
        <v>76.219843241217603</v>
      </c>
      <c r="D662" s="1">
        <f t="shared" si="41"/>
        <v>75</v>
      </c>
      <c r="E662" s="1">
        <f t="shared" si="42"/>
        <v>0</v>
      </c>
      <c r="F662" s="1">
        <f t="shared" si="43"/>
        <v>501</v>
      </c>
    </row>
    <row r="663" spans="1:6" x14ac:dyDescent="0.25">
      <c r="A663" s="1">
        <v>662</v>
      </c>
      <c r="B663">
        <v>7.9133895558439082E-2</v>
      </c>
      <c r="C663">
        <f t="shared" si="40"/>
        <v>39.726964978928144</v>
      </c>
      <c r="D663" s="1">
        <f t="shared" si="41"/>
        <v>40</v>
      </c>
      <c r="E663" s="1">
        <f t="shared" si="42"/>
        <v>35</v>
      </c>
      <c r="F663" s="1">
        <f t="shared" si="43"/>
        <v>254.6</v>
      </c>
    </row>
    <row r="664" spans="1:6" x14ac:dyDescent="0.25">
      <c r="A664" s="1">
        <v>663</v>
      </c>
      <c r="B664">
        <v>0.99030810161895122</v>
      </c>
      <c r="C664">
        <f t="shared" si="40"/>
        <v>133.4516634377631</v>
      </c>
      <c r="D664" s="1">
        <f t="shared" si="41"/>
        <v>75</v>
      </c>
      <c r="E664" s="1">
        <f t="shared" si="42"/>
        <v>0</v>
      </c>
      <c r="F664" s="1">
        <f t="shared" si="43"/>
        <v>501</v>
      </c>
    </row>
    <row r="665" spans="1:6" x14ac:dyDescent="0.25">
      <c r="A665" s="1">
        <v>664</v>
      </c>
      <c r="B665">
        <v>0.108499860760781</v>
      </c>
      <c r="C665">
        <f t="shared" si="40"/>
        <v>44.13636374367082</v>
      </c>
      <c r="D665" s="1">
        <f t="shared" si="41"/>
        <v>44</v>
      </c>
      <c r="E665" s="1">
        <f t="shared" si="42"/>
        <v>31</v>
      </c>
      <c r="F665" s="1">
        <f t="shared" si="43"/>
        <v>282.76</v>
      </c>
    </row>
    <row r="666" spans="1:6" x14ac:dyDescent="0.25">
      <c r="A666" s="1">
        <v>665</v>
      </c>
      <c r="B666">
        <v>4.13518441202404E-2</v>
      </c>
      <c r="C666">
        <f t="shared" si="40"/>
        <v>31.61976021486231</v>
      </c>
      <c r="D666" s="1">
        <f t="shared" si="41"/>
        <v>32</v>
      </c>
      <c r="E666" s="1">
        <f t="shared" si="42"/>
        <v>43</v>
      </c>
      <c r="F666" s="1">
        <f t="shared" si="43"/>
        <v>198.28</v>
      </c>
    </row>
    <row r="667" spans="1:6" x14ac:dyDescent="0.25">
      <c r="A667" s="1">
        <v>666</v>
      </c>
      <c r="B667">
        <v>0.78723533299929449</v>
      </c>
      <c r="C667">
        <f t="shared" si="40"/>
        <v>94.921629555884209</v>
      </c>
      <c r="D667" s="1">
        <f t="shared" si="41"/>
        <v>75</v>
      </c>
      <c r="E667" s="1">
        <f t="shared" si="42"/>
        <v>0</v>
      </c>
      <c r="F667" s="1">
        <f t="shared" si="43"/>
        <v>501</v>
      </c>
    </row>
    <row r="668" spans="1:6" x14ac:dyDescent="0.25">
      <c r="A668" s="1">
        <v>667</v>
      </c>
      <c r="B668">
        <v>0.36873707414358825</v>
      </c>
      <c r="C668">
        <f t="shared" si="40"/>
        <v>66.619997555881469</v>
      </c>
      <c r="D668" s="1">
        <f t="shared" si="41"/>
        <v>67</v>
      </c>
      <c r="E668" s="1">
        <f t="shared" si="42"/>
        <v>8</v>
      </c>
      <c r="F668" s="1">
        <f t="shared" si="43"/>
        <v>444.68</v>
      </c>
    </row>
    <row r="669" spans="1:6" x14ac:dyDescent="0.25">
      <c r="A669" s="1">
        <v>668</v>
      </c>
      <c r="B669">
        <v>0.55979021486079994</v>
      </c>
      <c r="C669">
        <f t="shared" si="40"/>
        <v>78.760933916028094</v>
      </c>
      <c r="D669" s="1">
        <f t="shared" si="41"/>
        <v>75</v>
      </c>
      <c r="E669" s="1">
        <f t="shared" si="42"/>
        <v>0</v>
      </c>
      <c r="F669" s="1">
        <f t="shared" si="43"/>
        <v>501</v>
      </c>
    </row>
    <row r="670" spans="1:6" x14ac:dyDescent="0.25">
      <c r="A670" s="1">
        <v>669</v>
      </c>
      <c r="B670">
        <v>0.75897895891369838</v>
      </c>
      <c r="C670">
        <f t="shared" si="40"/>
        <v>92.575548279777621</v>
      </c>
      <c r="D670" s="1">
        <f t="shared" si="41"/>
        <v>75</v>
      </c>
      <c r="E670" s="1">
        <f t="shared" si="42"/>
        <v>0</v>
      </c>
      <c r="F670" s="1">
        <f t="shared" si="43"/>
        <v>501</v>
      </c>
    </row>
    <row r="671" spans="1:6" x14ac:dyDescent="0.25">
      <c r="A671" s="1">
        <v>670</v>
      </c>
      <c r="B671">
        <v>0.50386519448993228</v>
      </c>
      <c r="C671">
        <f t="shared" si="40"/>
        <v>75.242218934428706</v>
      </c>
      <c r="D671" s="1">
        <f t="shared" si="41"/>
        <v>75</v>
      </c>
      <c r="E671" s="1">
        <f t="shared" si="42"/>
        <v>0</v>
      </c>
      <c r="F671" s="1">
        <f t="shared" si="43"/>
        <v>501</v>
      </c>
    </row>
    <row r="672" spans="1:6" x14ac:dyDescent="0.25">
      <c r="A672" s="1">
        <v>671</v>
      </c>
      <c r="B672">
        <v>0.25805666523471282</v>
      </c>
      <c r="C672">
        <f t="shared" si="40"/>
        <v>58.766294726046603</v>
      </c>
      <c r="D672" s="1">
        <f t="shared" si="41"/>
        <v>59</v>
      </c>
      <c r="E672" s="1">
        <f t="shared" si="42"/>
        <v>16</v>
      </c>
      <c r="F672" s="1">
        <f t="shared" si="43"/>
        <v>388.36</v>
      </c>
    </row>
    <row r="673" spans="1:6" x14ac:dyDescent="0.25">
      <c r="A673" s="1">
        <v>672</v>
      </c>
      <c r="B673">
        <v>0.33602139193692659</v>
      </c>
      <c r="C673">
        <f t="shared" si="40"/>
        <v>64.416348173127972</v>
      </c>
      <c r="D673" s="1">
        <f t="shared" si="41"/>
        <v>64</v>
      </c>
      <c r="E673" s="1">
        <f t="shared" si="42"/>
        <v>11</v>
      </c>
      <c r="F673" s="1">
        <f t="shared" si="43"/>
        <v>423.56</v>
      </c>
    </row>
    <row r="674" spans="1:6" x14ac:dyDescent="0.25">
      <c r="A674" s="1">
        <v>673</v>
      </c>
      <c r="B674">
        <v>0.34942612050881994</v>
      </c>
      <c r="C674">
        <f t="shared" si="40"/>
        <v>65.328242886603419</v>
      </c>
      <c r="D674" s="1">
        <f t="shared" si="41"/>
        <v>65</v>
      </c>
      <c r="E674" s="1">
        <f t="shared" si="42"/>
        <v>10</v>
      </c>
      <c r="F674" s="1">
        <f t="shared" si="43"/>
        <v>430.6</v>
      </c>
    </row>
    <row r="675" spans="1:6" x14ac:dyDescent="0.25">
      <c r="A675" s="1">
        <v>674</v>
      </c>
      <c r="B675">
        <v>0.70565207770247973</v>
      </c>
      <c r="C675">
        <f t="shared" si="40"/>
        <v>88.518172131656101</v>
      </c>
      <c r="D675" s="1">
        <f t="shared" si="41"/>
        <v>75</v>
      </c>
      <c r="E675" s="1">
        <f t="shared" si="42"/>
        <v>0</v>
      </c>
      <c r="F675" s="1">
        <f t="shared" si="43"/>
        <v>501</v>
      </c>
    </row>
    <row r="676" spans="1:6" x14ac:dyDescent="0.25">
      <c r="A676" s="1">
        <v>675</v>
      </c>
      <c r="B676">
        <v>0.59966323969188839</v>
      </c>
      <c r="C676">
        <f t="shared" si="40"/>
        <v>81.311888418317182</v>
      </c>
      <c r="D676" s="1">
        <f t="shared" si="41"/>
        <v>75</v>
      </c>
      <c r="E676" s="1">
        <f t="shared" si="42"/>
        <v>0</v>
      </c>
      <c r="F676" s="1">
        <f t="shared" si="43"/>
        <v>501</v>
      </c>
    </row>
    <row r="677" spans="1:6" x14ac:dyDescent="0.25">
      <c r="A677" s="1">
        <v>676</v>
      </c>
      <c r="B677">
        <v>2.0487501614377956E-3</v>
      </c>
      <c r="C677">
        <f t="shared" si="40"/>
        <v>3.2360888299791952</v>
      </c>
      <c r="D677" s="1">
        <f t="shared" si="41"/>
        <v>3</v>
      </c>
      <c r="E677" s="1">
        <f t="shared" si="42"/>
        <v>72</v>
      </c>
      <c r="F677" s="1">
        <f t="shared" si="43"/>
        <v>-5.88</v>
      </c>
    </row>
    <row r="678" spans="1:6" x14ac:dyDescent="0.25">
      <c r="A678" s="1">
        <v>677</v>
      </c>
      <c r="B678">
        <v>0.73592453311953232</v>
      </c>
      <c r="C678">
        <f t="shared" si="40"/>
        <v>90.770778739760686</v>
      </c>
      <c r="D678" s="1">
        <f t="shared" si="41"/>
        <v>75</v>
      </c>
      <c r="E678" s="1">
        <f t="shared" si="42"/>
        <v>0</v>
      </c>
      <c r="F678" s="1">
        <f t="shared" si="43"/>
        <v>501</v>
      </c>
    </row>
    <row r="679" spans="1:6" x14ac:dyDescent="0.25">
      <c r="A679" s="1">
        <v>678</v>
      </c>
      <c r="B679">
        <v>0.67664538376921823</v>
      </c>
      <c r="C679">
        <f t="shared" si="40"/>
        <v>86.458463745481183</v>
      </c>
      <c r="D679" s="1">
        <f t="shared" si="41"/>
        <v>75</v>
      </c>
      <c r="E679" s="1">
        <f t="shared" si="42"/>
        <v>0</v>
      </c>
      <c r="F679" s="1">
        <f t="shared" si="43"/>
        <v>501</v>
      </c>
    </row>
    <row r="680" spans="1:6" x14ac:dyDescent="0.25">
      <c r="A680" s="1">
        <v>679</v>
      </c>
      <c r="B680">
        <v>0.31986550569121142</v>
      </c>
      <c r="C680">
        <f t="shared" si="40"/>
        <v>63.298126916464263</v>
      </c>
      <c r="D680" s="1">
        <f t="shared" si="41"/>
        <v>63</v>
      </c>
      <c r="E680" s="1">
        <f t="shared" si="42"/>
        <v>12</v>
      </c>
      <c r="F680" s="1">
        <f t="shared" si="43"/>
        <v>416.52</v>
      </c>
    </row>
    <row r="681" spans="1:6" x14ac:dyDescent="0.25">
      <c r="A681" s="1">
        <v>680</v>
      </c>
      <c r="B681">
        <v>0.35239088455143097</v>
      </c>
      <c r="C681">
        <f t="shared" si="40"/>
        <v>65.52816133636523</v>
      </c>
      <c r="D681" s="1">
        <f t="shared" si="41"/>
        <v>66</v>
      </c>
      <c r="E681" s="1">
        <f t="shared" si="42"/>
        <v>9</v>
      </c>
      <c r="F681" s="1">
        <f t="shared" si="43"/>
        <v>437.64</v>
      </c>
    </row>
    <row r="682" spans="1:6" x14ac:dyDescent="0.25">
      <c r="A682" s="1">
        <v>681</v>
      </c>
      <c r="B682">
        <v>0.25661894438822219</v>
      </c>
      <c r="C682">
        <f t="shared" si="40"/>
        <v>58.654892227001625</v>
      </c>
      <c r="D682" s="1">
        <f t="shared" si="41"/>
        <v>59</v>
      </c>
      <c r="E682" s="1">
        <f t="shared" si="42"/>
        <v>16</v>
      </c>
      <c r="F682" s="1">
        <f t="shared" si="43"/>
        <v>388.36</v>
      </c>
    </row>
    <row r="683" spans="1:6" x14ac:dyDescent="0.25">
      <c r="A683" s="1">
        <v>682</v>
      </c>
      <c r="B683">
        <v>0.90212951702380917</v>
      </c>
      <c r="C683">
        <f t="shared" si="40"/>
        <v>107.34453306113792</v>
      </c>
      <c r="D683" s="1">
        <f t="shared" si="41"/>
        <v>75</v>
      </c>
      <c r="E683" s="1">
        <f t="shared" si="42"/>
        <v>0</v>
      </c>
      <c r="F683" s="1">
        <f t="shared" si="43"/>
        <v>501</v>
      </c>
    </row>
    <row r="684" spans="1:6" x14ac:dyDescent="0.25">
      <c r="A684" s="1">
        <v>683</v>
      </c>
      <c r="B684">
        <v>0.20046388234793955</v>
      </c>
      <c r="C684">
        <f t="shared" si="40"/>
        <v>54.00086402360914</v>
      </c>
      <c r="D684" s="1">
        <f t="shared" si="41"/>
        <v>54</v>
      </c>
      <c r="E684" s="1">
        <f t="shared" si="42"/>
        <v>21</v>
      </c>
      <c r="F684" s="1">
        <f t="shared" si="43"/>
        <v>353.16</v>
      </c>
    </row>
    <row r="685" spans="1:6" x14ac:dyDescent="0.25">
      <c r="A685" s="1">
        <v>684</v>
      </c>
      <c r="B685">
        <v>0.6162761549955853</v>
      </c>
      <c r="C685">
        <f t="shared" si="40"/>
        <v>82.392876666272926</v>
      </c>
      <c r="D685" s="1">
        <f t="shared" si="41"/>
        <v>75</v>
      </c>
      <c r="E685" s="1">
        <f t="shared" si="42"/>
        <v>0</v>
      </c>
      <c r="F685" s="1">
        <f t="shared" si="43"/>
        <v>501</v>
      </c>
    </row>
    <row r="686" spans="1:6" x14ac:dyDescent="0.25">
      <c r="A686" s="1">
        <v>685</v>
      </c>
      <c r="B686">
        <v>0.77519605826991189</v>
      </c>
      <c r="C686">
        <f t="shared" si="40"/>
        <v>93.901722651863665</v>
      </c>
      <c r="D686" s="1">
        <f t="shared" si="41"/>
        <v>75</v>
      </c>
      <c r="E686" s="1">
        <f t="shared" si="42"/>
        <v>0</v>
      </c>
      <c r="F686" s="1">
        <f t="shared" si="43"/>
        <v>501</v>
      </c>
    </row>
    <row r="687" spans="1:6" x14ac:dyDescent="0.25">
      <c r="A687" s="1">
        <v>686</v>
      </c>
      <c r="B687">
        <v>0.78704784785927784</v>
      </c>
      <c r="C687">
        <f t="shared" si="40"/>
        <v>94.905494429870146</v>
      </c>
      <c r="D687" s="1">
        <f t="shared" si="41"/>
        <v>75</v>
      </c>
      <c r="E687" s="1">
        <f t="shared" si="42"/>
        <v>0</v>
      </c>
      <c r="F687" s="1">
        <f t="shared" si="43"/>
        <v>501</v>
      </c>
    </row>
    <row r="688" spans="1:6" x14ac:dyDescent="0.25">
      <c r="A688" s="1">
        <v>687</v>
      </c>
      <c r="B688">
        <v>0.79021659270372713</v>
      </c>
      <c r="C688">
        <f t="shared" si="40"/>
        <v>95.17932519177343</v>
      </c>
      <c r="D688" s="1">
        <f t="shared" si="41"/>
        <v>75</v>
      </c>
      <c r="E688" s="1">
        <f t="shared" si="42"/>
        <v>0</v>
      </c>
      <c r="F688" s="1">
        <f t="shared" si="43"/>
        <v>501</v>
      </c>
    </row>
    <row r="689" spans="1:6" x14ac:dyDescent="0.25">
      <c r="A689" s="1">
        <v>688</v>
      </c>
      <c r="B689">
        <v>8.985370206589427E-2</v>
      </c>
      <c r="C689">
        <f t="shared" si="40"/>
        <v>41.458588007894654</v>
      </c>
      <c r="D689" s="1">
        <f t="shared" si="41"/>
        <v>41</v>
      </c>
      <c r="E689" s="1">
        <f t="shared" si="42"/>
        <v>34</v>
      </c>
      <c r="F689" s="1">
        <f t="shared" si="43"/>
        <v>261.64</v>
      </c>
    </row>
    <row r="690" spans="1:6" x14ac:dyDescent="0.25">
      <c r="A690" s="1">
        <v>689</v>
      </c>
      <c r="B690">
        <v>0.10246414456200859</v>
      </c>
      <c r="C690">
        <f t="shared" si="40"/>
        <v>43.309122354512809</v>
      </c>
      <c r="D690" s="1">
        <f t="shared" si="41"/>
        <v>43</v>
      </c>
      <c r="E690" s="1">
        <f t="shared" si="42"/>
        <v>32</v>
      </c>
      <c r="F690" s="1">
        <f t="shared" si="43"/>
        <v>275.72000000000003</v>
      </c>
    </row>
    <row r="691" spans="1:6" x14ac:dyDescent="0.25">
      <c r="A691" s="1">
        <v>690</v>
      </c>
      <c r="B691">
        <v>0.79425940006059936</v>
      </c>
      <c r="C691">
        <f t="shared" si="40"/>
        <v>95.532245719894235</v>
      </c>
      <c r="D691" s="1">
        <f t="shared" si="41"/>
        <v>75</v>
      </c>
      <c r="E691" s="1">
        <f t="shared" si="42"/>
        <v>0</v>
      </c>
      <c r="F691" s="1">
        <f t="shared" si="43"/>
        <v>501</v>
      </c>
    </row>
    <row r="692" spans="1:6" x14ac:dyDescent="0.25">
      <c r="A692" s="1">
        <v>691</v>
      </c>
      <c r="B692">
        <v>0.92016419177763098</v>
      </c>
      <c r="C692">
        <f t="shared" si="40"/>
        <v>110.15442126560245</v>
      </c>
      <c r="D692" s="1">
        <f t="shared" si="41"/>
        <v>75</v>
      </c>
      <c r="E692" s="1">
        <f t="shared" si="42"/>
        <v>0</v>
      </c>
      <c r="F692" s="1">
        <f t="shared" si="43"/>
        <v>501</v>
      </c>
    </row>
    <row r="693" spans="1:6" x14ac:dyDescent="0.25">
      <c r="A693" s="1">
        <v>692</v>
      </c>
      <c r="B693">
        <v>8.2489541124147747E-3</v>
      </c>
      <c r="C693">
        <f t="shared" si="40"/>
        <v>15.057242864482625</v>
      </c>
      <c r="D693" s="1">
        <f t="shared" si="41"/>
        <v>15</v>
      </c>
      <c r="E693" s="1">
        <f t="shared" si="42"/>
        <v>60</v>
      </c>
      <c r="F693" s="1">
        <f t="shared" si="43"/>
        <v>78.599999999999994</v>
      </c>
    </row>
    <row r="694" spans="1:6" x14ac:dyDescent="0.25">
      <c r="A694" s="1">
        <v>693</v>
      </c>
      <c r="B694">
        <v>0.33989285929672441</v>
      </c>
      <c r="C694">
        <f t="shared" si="40"/>
        <v>64.681111164541392</v>
      </c>
      <c r="D694" s="1">
        <f t="shared" si="41"/>
        <v>65</v>
      </c>
      <c r="E694" s="1">
        <f t="shared" si="42"/>
        <v>10</v>
      </c>
      <c r="F694" s="1">
        <f t="shared" si="43"/>
        <v>430.6</v>
      </c>
    </row>
    <row r="695" spans="1:6" x14ac:dyDescent="0.25">
      <c r="A695" s="1">
        <v>694</v>
      </c>
      <c r="B695">
        <v>0.84042196565110194</v>
      </c>
      <c r="C695">
        <f t="shared" si="40"/>
        <v>99.904841015107309</v>
      </c>
      <c r="D695" s="1">
        <f t="shared" si="41"/>
        <v>75</v>
      </c>
      <c r="E695" s="1">
        <f t="shared" si="42"/>
        <v>0</v>
      </c>
      <c r="F695" s="1">
        <f t="shared" si="43"/>
        <v>501</v>
      </c>
    </row>
    <row r="696" spans="1:6" x14ac:dyDescent="0.25">
      <c r="A696" s="1">
        <v>695</v>
      </c>
      <c r="B696">
        <v>6.5779698569357836E-2</v>
      </c>
      <c r="C696">
        <f t="shared" si="40"/>
        <v>37.300475707832135</v>
      </c>
      <c r="D696" s="1">
        <f t="shared" si="41"/>
        <v>37</v>
      </c>
      <c r="E696" s="1">
        <f t="shared" si="42"/>
        <v>38</v>
      </c>
      <c r="F696" s="1">
        <f t="shared" si="43"/>
        <v>233.48</v>
      </c>
    </row>
    <row r="697" spans="1:6" x14ac:dyDescent="0.25">
      <c r="A697" s="1">
        <v>696</v>
      </c>
      <c r="B697">
        <v>6.5505437291426549E-3</v>
      </c>
      <c r="C697">
        <f t="shared" si="40"/>
        <v>12.974762038746036</v>
      </c>
      <c r="D697" s="1">
        <f t="shared" si="41"/>
        <v>13</v>
      </c>
      <c r="E697" s="1">
        <f t="shared" si="42"/>
        <v>62</v>
      </c>
      <c r="F697" s="1">
        <f t="shared" si="43"/>
        <v>64.52</v>
      </c>
    </row>
    <row r="698" spans="1:6" x14ac:dyDescent="0.25">
      <c r="A698" s="1">
        <v>697</v>
      </c>
      <c r="B698">
        <v>0.90501307644863271</v>
      </c>
      <c r="C698">
        <f t="shared" si="40"/>
        <v>107.76641207688841</v>
      </c>
      <c r="D698" s="1">
        <f t="shared" si="41"/>
        <v>75</v>
      </c>
      <c r="E698" s="1">
        <f t="shared" si="42"/>
        <v>0</v>
      </c>
      <c r="F698" s="1">
        <f t="shared" si="43"/>
        <v>501</v>
      </c>
    </row>
    <row r="699" spans="1:6" x14ac:dyDescent="0.25">
      <c r="A699" s="1">
        <v>698</v>
      </c>
      <c r="B699">
        <v>0.1869611850258488</v>
      </c>
      <c r="C699">
        <f t="shared" si="40"/>
        <v>52.771245336842981</v>
      </c>
      <c r="D699" s="1">
        <f t="shared" si="41"/>
        <v>53</v>
      </c>
      <c r="E699" s="1">
        <f t="shared" si="42"/>
        <v>22</v>
      </c>
      <c r="F699" s="1">
        <f t="shared" si="43"/>
        <v>346.12</v>
      </c>
    </row>
    <row r="700" spans="1:6" x14ac:dyDescent="0.25">
      <c r="A700" s="1">
        <v>699</v>
      </c>
      <c r="B700">
        <v>0.97963850049755319</v>
      </c>
      <c r="C700">
        <f t="shared" si="40"/>
        <v>126.1584826620911</v>
      </c>
      <c r="D700" s="1">
        <f t="shared" si="41"/>
        <v>75</v>
      </c>
      <c r="E700" s="1">
        <f t="shared" si="42"/>
        <v>0</v>
      </c>
      <c r="F700" s="1">
        <f t="shared" si="43"/>
        <v>501</v>
      </c>
    </row>
    <row r="701" spans="1:6" x14ac:dyDescent="0.25">
      <c r="A701" s="1">
        <v>700</v>
      </c>
      <c r="B701">
        <v>0.59749432967722127</v>
      </c>
      <c r="C701">
        <f t="shared" si="40"/>
        <v>81.171669041636818</v>
      </c>
      <c r="D701" s="1">
        <f t="shared" si="41"/>
        <v>75</v>
      </c>
      <c r="E701" s="1">
        <f t="shared" si="42"/>
        <v>0</v>
      </c>
      <c r="F701" s="1">
        <f t="shared" si="43"/>
        <v>501</v>
      </c>
    </row>
    <row r="702" spans="1:6" x14ac:dyDescent="0.25">
      <c r="A702" s="1">
        <v>701</v>
      </c>
      <c r="B702">
        <v>3.5758366525326157E-2</v>
      </c>
      <c r="C702">
        <f t="shared" si="40"/>
        <v>29.945443216483845</v>
      </c>
      <c r="D702" s="1">
        <f t="shared" si="41"/>
        <v>30</v>
      </c>
      <c r="E702" s="1">
        <f t="shared" si="42"/>
        <v>45</v>
      </c>
      <c r="F702" s="1">
        <f t="shared" si="43"/>
        <v>184.2</v>
      </c>
    </row>
    <row r="703" spans="1:6" x14ac:dyDescent="0.25">
      <c r="A703" s="1">
        <v>702</v>
      </c>
      <c r="B703">
        <v>0.34353284403585438</v>
      </c>
      <c r="C703">
        <f t="shared" si="40"/>
        <v>64.928991681461099</v>
      </c>
      <c r="D703" s="1">
        <f t="shared" si="41"/>
        <v>65</v>
      </c>
      <c r="E703" s="1">
        <f t="shared" si="42"/>
        <v>10</v>
      </c>
      <c r="F703" s="1">
        <f t="shared" si="43"/>
        <v>430.6</v>
      </c>
    </row>
    <row r="704" spans="1:6" x14ac:dyDescent="0.25">
      <c r="A704" s="1">
        <v>703</v>
      </c>
      <c r="B704">
        <v>0.42062517239313058</v>
      </c>
      <c r="C704">
        <f t="shared" si="40"/>
        <v>69.992640090182377</v>
      </c>
      <c r="D704" s="1">
        <f t="shared" si="41"/>
        <v>70</v>
      </c>
      <c r="E704" s="1">
        <f t="shared" si="42"/>
        <v>5</v>
      </c>
      <c r="F704" s="1">
        <f t="shared" si="43"/>
        <v>465.8</v>
      </c>
    </row>
    <row r="705" spans="1:6" x14ac:dyDescent="0.25">
      <c r="A705" s="1">
        <v>704</v>
      </c>
      <c r="B705">
        <v>0.18716579301041347</v>
      </c>
      <c r="C705">
        <f t="shared" si="40"/>
        <v>52.790277124567929</v>
      </c>
      <c r="D705" s="1">
        <f t="shared" si="41"/>
        <v>53</v>
      </c>
      <c r="E705" s="1">
        <f t="shared" si="42"/>
        <v>22</v>
      </c>
      <c r="F705" s="1">
        <f t="shared" si="43"/>
        <v>346.12</v>
      </c>
    </row>
    <row r="706" spans="1:6" x14ac:dyDescent="0.25">
      <c r="A706" s="1">
        <v>705</v>
      </c>
      <c r="B706">
        <v>0.39544023547260332</v>
      </c>
      <c r="C706">
        <f t="shared" si="40"/>
        <v>68.370813821714179</v>
      </c>
      <c r="D706" s="1">
        <f t="shared" si="41"/>
        <v>68</v>
      </c>
      <c r="E706" s="1">
        <f t="shared" si="42"/>
        <v>7</v>
      </c>
      <c r="F706" s="1">
        <f t="shared" si="43"/>
        <v>451.72</v>
      </c>
    </row>
    <row r="707" spans="1:6" x14ac:dyDescent="0.25">
      <c r="A707" s="1">
        <v>706</v>
      </c>
      <c r="B707">
        <v>0.32016087546983918</v>
      </c>
      <c r="C707">
        <f t="shared" ref="C707:C770" si="44">_xlfn.NORM.INV(B707,75,25)</f>
        <v>63.318775382056309</v>
      </c>
      <c r="D707" s="1">
        <f t="shared" ref="D707:D770" si="45">MIN(ROUND(C707,0),$H$2)</f>
        <v>63</v>
      </c>
      <c r="E707" s="1">
        <f t="shared" ref="E707:E770" si="46">$H$2-D707</f>
        <v>12</v>
      </c>
      <c r="F707" s="1">
        <f t="shared" ref="F707:F770" si="47">7*D707-$H$2/25*8-E707/25*1</f>
        <v>416.52</v>
      </c>
    </row>
    <row r="708" spans="1:6" x14ac:dyDescent="0.25">
      <c r="A708" s="1">
        <v>707</v>
      </c>
      <c r="B708">
        <v>6.2469333104588576E-2</v>
      </c>
      <c r="C708">
        <f t="shared" si="44"/>
        <v>36.640751275948041</v>
      </c>
      <c r="D708" s="1">
        <f t="shared" si="45"/>
        <v>37</v>
      </c>
      <c r="E708" s="1">
        <f t="shared" si="46"/>
        <v>38</v>
      </c>
      <c r="F708" s="1">
        <f t="shared" si="47"/>
        <v>233.48</v>
      </c>
    </row>
    <row r="709" spans="1:6" x14ac:dyDescent="0.25">
      <c r="A709" s="1">
        <v>708</v>
      </c>
      <c r="B709">
        <v>0.89365793392427018</v>
      </c>
      <c r="C709">
        <f t="shared" si="44"/>
        <v>106.15546637267005</v>
      </c>
      <c r="D709" s="1">
        <f t="shared" si="45"/>
        <v>75</v>
      </c>
      <c r="E709" s="1">
        <f t="shared" si="46"/>
        <v>0</v>
      </c>
      <c r="F709" s="1">
        <f t="shared" si="47"/>
        <v>501</v>
      </c>
    </row>
    <row r="710" spans="1:6" x14ac:dyDescent="0.25">
      <c r="A710" s="1">
        <v>709</v>
      </c>
      <c r="B710">
        <v>0.19085409109625451</v>
      </c>
      <c r="C710">
        <f t="shared" si="44"/>
        <v>53.131168881030405</v>
      </c>
      <c r="D710" s="1">
        <f t="shared" si="45"/>
        <v>53</v>
      </c>
      <c r="E710" s="1">
        <f t="shared" si="46"/>
        <v>22</v>
      </c>
      <c r="F710" s="1">
        <f t="shared" si="47"/>
        <v>346.12</v>
      </c>
    </row>
    <row r="711" spans="1:6" x14ac:dyDescent="0.25">
      <c r="A711" s="1">
        <v>710</v>
      </c>
      <c r="B711">
        <v>0.34727606735684025</v>
      </c>
      <c r="C711">
        <f t="shared" si="44"/>
        <v>65.182874455204598</v>
      </c>
      <c r="D711" s="1">
        <f t="shared" si="45"/>
        <v>65</v>
      </c>
      <c r="E711" s="1">
        <f t="shared" si="46"/>
        <v>10</v>
      </c>
      <c r="F711" s="1">
        <f t="shared" si="47"/>
        <v>430.6</v>
      </c>
    </row>
    <row r="712" spans="1:6" x14ac:dyDescent="0.25">
      <c r="A712" s="1">
        <v>711</v>
      </c>
      <c r="B712">
        <v>0.74053820117058766</v>
      </c>
      <c r="C712">
        <f t="shared" si="44"/>
        <v>91.125138419723982</v>
      </c>
      <c r="D712" s="1">
        <f t="shared" si="45"/>
        <v>75</v>
      </c>
      <c r="E712" s="1">
        <f t="shared" si="46"/>
        <v>0</v>
      </c>
      <c r="F712" s="1">
        <f t="shared" si="47"/>
        <v>501</v>
      </c>
    </row>
    <row r="713" spans="1:6" x14ac:dyDescent="0.25">
      <c r="A713" s="1">
        <v>712</v>
      </c>
      <c r="B713">
        <v>3.579639123095113E-2</v>
      </c>
      <c r="C713">
        <f t="shared" si="44"/>
        <v>29.957526103328895</v>
      </c>
      <c r="D713" s="1">
        <f t="shared" si="45"/>
        <v>30</v>
      </c>
      <c r="E713" s="1">
        <f t="shared" si="46"/>
        <v>45</v>
      </c>
      <c r="F713" s="1">
        <f t="shared" si="47"/>
        <v>184.2</v>
      </c>
    </row>
    <row r="714" spans="1:6" x14ac:dyDescent="0.25">
      <c r="A714" s="1">
        <v>713</v>
      </c>
      <c r="B714">
        <v>0.66779677028831541</v>
      </c>
      <c r="C714">
        <f t="shared" si="44"/>
        <v>85.845937108414191</v>
      </c>
      <c r="D714" s="1">
        <f t="shared" si="45"/>
        <v>75</v>
      </c>
      <c r="E714" s="1">
        <f t="shared" si="46"/>
        <v>0</v>
      </c>
      <c r="F714" s="1">
        <f t="shared" si="47"/>
        <v>501</v>
      </c>
    </row>
    <row r="715" spans="1:6" x14ac:dyDescent="0.25">
      <c r="A715" s="1">
        <v>714</v>
      </c>
      <c r="B715">
        <v>0.94655119825261957</v>
      </c>
      <c r="C715">
        <f t="shared" si="44"/>
        <v>115.30739308569848</v>
      </c>
      <c r="D715" s="1">
        <f t="shared" si="45"/>
        <v>75</v>
      </c>
      <c r="E715" s="1">
        <f t="shared" si="46"/>
        <v>0</v>
      </c>
      <c r="F715" s="1">
        <f t="shared" si="47"/>
        <v>501</v>
      </c>
    </row>
    <row r="716" spans="1:6" x14ac:dyDescent="0.25">
      <c r="A716" s="1">
        <v>715</v>
      </c>
      <c r="B716">
        <v>6.0222806026397513E-2</v>
      </c>
      <c r="C716">
        <f t="shared" si="44"/>
        <v>36.177351975500549</v>
      </c>
      <c r="D716" s="1">
        <f t="shared" si="45"/>
        <v>36</v>
      </c>
      <c r="E716" s="1">
        <f t="shared" si="46"/>
        <v>39</v>
      </c>
      <c r="F716" s="1">
        <f t="shared" si="47"/>
        <v>226.44</v>
      </c>
    </row>
    <row r="717" spans="1:6" x14ac:dyDescent="0.25">
      <c r="A717" s="1">
        <v>716</v>
      </c>
      <c r="B717">
        <v>7.0389069589637199E-2</v>
      </c>
      <c r="C717">
        <f t="shared" si="44"/>
        <v>38.177512709291825</v>
      </c>
      <c r="D717" s="1">
        <f t="shared" si="45"/>
        <v>38</v>
      </c>
      <c r="E717" s="1">
        <f t="shared" si="46"/>
        <v>37</v>
      </c>
      <c r="F717" s="1">
        <f t="shared" si="47"/>
        <v>240.52</v>
      </c>
    </row>
    <row r="718" spans="1:6" x14ac:dyDescent="0.25">
      <c r="A718" s="1">
        <v>717</v>
      </c>
      <c r="B718">
        <v>0.27407966645386372</v>
      </c>
      <c r="C718">
        <f t="shared" si="44"/>
        <v>59.986984874928638</v>
      </c>
      <c r="D718" s="1">
        <f t="shared" si="45"/>
        <v>60</v>
      </c>
      <c r="E718" s="1">
        <f t="shared" si="46"/>
        <v>15</v>
      </c>
      <c r="F718" s="1">
        <f t="shared" si="47"/>
        <v>395.4</v>
      </c>
    </row>
    <row r="719" spans="1:6" x14ac:dyDescent="0.25">
      <c r="A719" s="1">
        <v>718</v>
      </c>
      <c r="B719">
        <v>0.40189622159132932</v>
      </c>
      <c r="C719">
        <f t="shared" si="44"/>
        <v>68.788950081032695</v>
      </c>
      <c r="D719" s="1">
        <f t="shared" si="45"/>
        <v>69</v>
      </c>
      <c r="E719" s="1">
        <f t="shared" si="46"/>
        <v>6</v>
      </c>
      <c r="F719" s="1">
        <f t="shared" si="47"/>
        <v>458.76</v>
      </c>
    </row>
    <row r="720" spans="1:6" x14ac:dyDescent="0.25">
      <c r="A720" s="1">
        <v>719</v>
      </c>
      <c r="B720">
        <v>0.63664866110335716</v>
      </c>
      <c r="C720">
        <f t="shared" si="44"/>
        <v>83.737876128169788</v>
      </c>
      <c r="D720" s="1">
        <f t="shared" si="45"/>
        <v>75</v>
      </c>
      <c r="E720" s="1">
        <f t="shared" si="46"/>
        <v>0</v>
      </c>
      <c r="F720" s="1">
        <f t="shared" si="47"/>
        <v>501</v>
      </c>
    </row>
    <row r="721" spans="1:6" x14ac:dyDescent="0.25">
      <c r="A721" s="1">
        <v>720</v>
      </c>
      <c r="B721">
        <v>0.34675393925079823</v>
      </c>
      <c r="C721">
        <f t="shared" si="44"/>
        <v>65.14752260335365</v>
      </c>
      <c r="D721" s="1">
        <f t="shared" si="45"/>
        <v>65</v>
      </c>
      <c r="E721" s="1">
        <f t="shared" si="46"/>
        <v>10</v>
      </c>
      <c r="F721" s="1">
        <f t="shared" si="47"/>
        <v>430.6</v>
      </c>
    </row>
    <row r="722" spans="1:6" x14ac:dyDescent="0.25">
      <c r="A722" s="1">
        <v>721</v>
      </c>
      <c r="B722">
        <v>0.79387000632299765</v>
      </c>
      <c r="C722">
        <f t="shared" si="44"/>
        <v>95.498075736815551</v>
      </c>
      <c r="D722" s="1">
        <f t="shared" si="45"/>
        <v>75</v>
      </c>
      <c r="E722" s="1">
        <f t="shared" si="46"/>
        <v>0</v>
      </c>
      <c r="F722" s="1">
        <f t="shared" si="47"/>
        <v>501</v>
      </c>
    </row>
    <row r="723" spans="1:6" x14ac:dyDescent="0.25">
      <c r="A723" s="1">
        <v>722</v>
      </c>
      <c r="B723">
        <v>0.49899393981188545</v>
      </c>
      <c r="C723">
        <f t="shared" si="44"/>
        <v>74.936954460338455</v>
      </c>
      <c r="D723" s="1">
        <f t="shared" si="45"/>
        <v>75</v>
      </c>
      <c r="E723" s="1">
        <f t="shared" si="46"/>
        <v>0</v>
      </c>
      <c r="F723" s="1">
        <f t="shared" si="47"/>
        <v>501</v>
      </c>
    </row>
    <row r="724" spans="1:6" x14ac:dyDescent="0.25">
      <c r="A724" s="1">
        <v>723</v>
      </c>
      <c r="B724">
        <v>0.68897756567093749</v>
      </c>
      <c r="C724">
        <f t="shared" si="44"/>
        <v>87.323857848474418</v>
      </c>
      <c r="D724" s="1">
        <f t="shared" si="45"/>
        <v>75</v>
      </c>
      <c r="E724" s="1">
        <f t="shared" si="46"/>
        <v>0</v>
      </c>
      <c r="F724" s="1">
        <f t="shared" si="47"/>
        <v>501</v>
      </c>
    </row>
    <row r="725" spans="1:6" x14ac:dyDescent="0.25">
      <c r="A725" s="1">
        <v>724</v>
      </c>
      <c r="B725">
        <v>0.81712306130269485</v>
      </c>
      <c r="C725">
        <f t="shared" si="44"/>
        <v>97.611389531838284</v>
      </c>
      <c r="D725" s="1">
        <f t="shared" si="45"/>
        <v>75</v>
      </c>
      <c r="E725" s="1">
        <f t="shared" si="46"/>
        <v>0</v>
      </c>
      <c r="F725" s="1">
        <f t="shared" si="47"/>
        <v>501</v>
      </c>
    </row>
    <row r="726" spans="1:6" x14ac:dyDescent="0.25">
      <c r="A726" s="1">
        <v>725</v>
      </c>
      <c r="B726">
        <v>8.1668756374337903E-3</v>
      </c>
      <c r="C726">
        <f t="shared" si="44"/>
        <v>14.965716204692527</v>
      </c>
      <c r="D726" s="1">
        <f t="shared" si="45"/>
        <v>15</v>
      </c>
      <c r="E726" s="1">
        <f t="shared" si="46"/>
        <v>60</v>
      </c>
      <c r="F726" s="1">
        <f t="shared" si="47"/>
        <v>78.599999999999994</v>
      </c>
    </row>
    <row r="727" spans="1:6" x14ac:dyDescent="0.25">
      <c r="A727" s="1">
        <v>726</v>
      </c>
      <c r="B727">
        <v>0.81652953643862147</v>
      </c>
      <c r="C727">
        <f t="shared" si="44"/>
        <v>97.555456952285027</v>
      </c>
      <c r="D727" s="1">
        <f t="shared" si="45"/>
        <v>75</v>
      </c>
      <c r="E727" s="1">
        <f t="shared" si="46"/>
        <v>0</v>
      </c>
      <c r="F727" s="1">
        <f t="shared" si="47"/>
        <v>501</v>
      </c>
    </row>
    <row r="728" spans="1:6" x14ac:dyDescent="0.25">
      <c r="A728" s="1">
        <v>727</v>
      </c>
      <c r="B728">
        <v>0.60062436357424231</v>
      </c>
      <c r="C728">
        <f t="shared" si="44"/>
        <v>81.374088071930331</v>
      </c>
      <c r="D728" s="1">
        <f t="shared" si="45"/>
        <v>75</v>
      </c>
      <c r="E728" s="1">
        <f t="shared" si="46"/>
        <v>0</v>
      </c>
      <c r="F728" s="1">
        <f t="shared" si="47"/>
        <v>501</v>
      </c>
    </row>
    <row r="729" spans="1:6" x14ac:dyDescent="0.25">
      <c r="A729" s="1">
        <v>728</v>
      </c>
      <c r="B729">
        <v>0.15999605589906518</v>
      </c>
      <c r="C729">
        <f t="shared" si="44"/>
        <v>50.138147664679693</v>
      </c>
      <c r="D729" s="1">
        <f t="shared" si="45"/>
        <v>50</v>
      </c>
      <c r="E729" s="1">
        <f t="shared" si="46"/>
        <v>25</v>
      </c>
      <c r="F729" s="1">
        <f t="shared" si="47"/>
        <v>325</v>
      </c>
    </row>
    <row r="730" spans="1:6" x14ac:dyDescent="0.25">
      <c r="A730" s="1">
        <v>729</v>
      </c>
      <c r="B730">
        <v>0.94799546422309156</v>
      </c>
      <c r="C730">
        <f t="shared" si="44"/>
        <v>115.6430190173773</v>
      </c>
      <c r="D730" s="1">
        <f t="shared" si="45"/>
        <v>75</v>
      </c>
      <c r="E730" s="1">
        <f t="shared" si="46"/>
        <v>0</v>
      </c>
      <c r="F730" s="1">
        <f t="shared" si="47"/>
        <v>501</v>
      </c>
    </row>
    <row r="731" spans="1:6" x14ac:dyDescent="0.25">
      <c r="A731" s="1">
        <v>730</v>
      </c>
      <c r="B731">
        <v>0.55574396183911956</v>
      </c>
      <c r="C731">
        <f t="shared" si="44"/>
        <v>78.504680273189194</v>
      </c>
      <c r="D731" s="1">
        <f t="shared" si="45"/>
        <v>75</v>
      </c>
      <c r="E731" s="1">
        <f t="shared" si="46"/>
        <v>0</v>
      </c>
      <c r="F731" s="1">
        <f t="shared" si="47"/>
        <v>501</v>
      </c>
    </row>
    <row r="732" spans="1:6" x14ac:dyDescent="0.25">
      <c r="A732" s="1">
        <v>731</v>
      </c>
      <c r="B732">
        <v>0.32054225332367747</v>
      </c>
      <c r="C732">
        <f t="shared" si="44"/>
        <v>63.345424649286784</v>
      </c>
      <c r="D732" s="1">
        <f t="shared" si="45"/>
        <v>63</v>
      </c>
      <c r="E732" s="1">
        <f t="shared" si="46"/>
        <v>12</v>
      </c>
      <c r="F732" s="1">
        <f t="shared" si="47"/>
        <v>416.52</v>
      </c>
    </row>
    <row r="733" spans="1:6" x14ac:dyDescent="0.25">
      <c r="A733" s="1">
        <v>732</v>
      </c>
      <c r="B733">
        <v>0.63501089273991673</v>
      </c>
      <c r="C733">
        <f t="shared" si="44"/>
        <v>83.628862779457535</v>
      </c>
      <c r="D733" s="1">
        <f t="shared" si="45"/>
        <v>75</v>
      </c>
      <c r="E733" s="1">
        <f t="shared" si="46"/>
        <v>0</v>
      </c>
      <c r="F733" s="1">
        <f t="shared" si="47"/>
        <v>501</v>
      </c>
    </row>
    <row r="734" spans="1:6" x14ac:dyDescent="0.25">
      <c r="A734" s="1">
        <v>733</v>
      </c>
      <c r="B734">
        <v>0.51331567896796193</v>
      </c>
      <c r="C734">
        <f t="shared" si="44"/>
        <v>75.834591429999591</v>
      </c>
      <c r="D734" s="1">
        <f t="shared" si="45"/>
        <v>75</v>
      </c>
      <c r="E734" s="1">
        <f t="shared" si="46"/>
        <v>0</v>
      </c>
      <c r="F734" s="1">
        <f t="shared" si="47"/>
        <v>501</v>
      </c>
    </row>
    <row r="735" spans="1:6" x14ac:dyDescent="0.25">
      <c r="A735" s="1">
        <v>734</v>
      </c>
      <c r="B735">
        <v>0.89394576961522343</v>
      </c>
      <c r="C735">
        <f t="shared" si="44"/>
        <v>106.19471662550545</v>
      </c>
      <c r="D735" s="1">
        <f t="shared" si="45"/>
        <v>75</v>
      </c>
      <c r="E735" s="1">
        <f t="shared" si="46"/>
        <v>0</v>
      </c>
      <c r="F735" s="1">
        <f t="shared" si="47"/>
        <v>501</v>
      </c>
    </row>
    <row r="736" spans="1:6" x14ac:dyDescent="0.25">
      <c r="A736" s="1">
        <v>735</v>
      </c>
      <c r="B736">
        <v>0.14215002409896416</v>
      </c>
      <c r="C736">
        <f t="shared" si="44"/>
        <v>48.232261294662791</v>
      </c>
      <c r="D736" s="1">
        <f t="shared" si="45"/>
        <v>48</v>
      </c>
      <c r="E736" s="1">
        <f t="shared" si="46"/>
        <v>27</v>
      </c>
      <c r="F736" s="1">
        <f t="shared" si="47"/>
        <v>310.92</v>
      </c>
    </row>
    <row r="737" spans="1:6" x14ac:dyDescent="0.25">
      <c r="A737" s="1">
        <v>736</v>
      </c>
      <c r="B737">
        <v>0.77704202000545497</v>
      </c>
      <c r="C737">
        <f t="shared" si="44"/>
        <v>94.056034215558711</v>
      </c>
      <c r="D737" s="1">
        <f t="shared" si="45"/>
        <v>75</v>
      </c>
      <c r="E737" s="1">
        <f t="shared" si="46"/>
        <v>0</v>
      </c>
      <c r="F737" s="1">
        <f t="shared" si="47"/>
        <v>501</v>
      </c>
    </row>
    <row r="738" spans="1:6" x14ac:dyDescent="0.25">
      <c r="A738" s="1">
        <v>737</v>
      </c>
      <c r="B738">
        <v>0.20381999767135817</v>
      </c>
      <c r="C738">
        <f t="shared" si="44"/>
        <v>54.298653374114465</v>
      </c>
      <c r="D738" s="1">
        <f t="shared" si="45"/>
        <v>54</v>
      </c>
      <c r="E738" s="1">
        <f t="shared" si="46"/>
        <v>21</v>
      </c>
      <c r="F738" s="1">
        <f t="shared" si="47"/>
        <v>353.16</v>
      </c>
    </row>
    <row r="739" spans="1:6" x14ac:dyDescent="0.25">
      <c r="A739" s="1">
        <v>738</v>
      </c>
      <c r="B739">
        <v>0.98792560345423064</v>
      </c>
      <c r="C739">
        <f t="shared" si="44"/>
        <v>131.36884243483826</v>
      </c>
      <c r="D739" s="1">
        <f t="shared" si="45"/>
        <v>75</v>
      </c>
      <c r="E739" s="1">
        <f t="shared" si="46"/>
        <v>0</v>
      </c>
      <c r="F739" s="1">
        <f t="shared" si="47"/>
        <v>501</v>
      </c>
    </row>
    <row r="740" spans="1:6" x14ac:dyDescent="0.25">
      <c r="A740" s="1">
        <v>739</v>
      </c>
      <c r="B740">
        <v>0.9587703199311628</v>
      </c>
      <c r="C740">
        <f t="shared" si="44"/>
        <v>118.41477911965066</v>
      </c>
      <c r="D740" s="1">
        <f t="shared" si="45"/>
        <v>75</v>
      </c>
      <c r="E740" s="1">
        <f t="shared" si="46"/>
        <v>0</v>
      </c>
      <c r="F740" s="1">
        <f t="shared" si="47"/>
        <v>501</v>
      </c>
    </row>
    <row r="741" spans="1:6" x14ac:dyDescent="0.25">
      <c r="A741" s="1">
        <v>740</v>
      </c>
      <c r="B741">
        <v>0.88649456837678864</v>
      </c>
      <c r="C741">
        <f t="shared" si="44"/>
        <v>105.20236586835057</v>
      </c>
      <c r="D741" s="1">
        <f t="shared" si="45"/>
        <v>75</v>
      </c>
      <c r="E741" s="1">
        <f t="shared" si="46"/>
        <v>0</v>
      </c>
      <c r="F741" s="1">
        <f t="shared" si="47"/>
        <v>501</v>
      </c>
    </row>
    <row r="742" spans="1:6" x14ac:dyDescent="0.25">
      <c r="A742" s="1">
        <v>741</v>
      </c>
      <c r="B742">
        <v>0.49398050929108939</v>
      </c>
      <c r="C742">
        <f t="shared" si="44"/>
        <v>74.62277004537836</v>
      </c>
      <c r="D742" s="1">
        <f t="shared" si="45"/>
        <v>75</v>
      </c>
      <c r="E742" s="1">
        <f t="shared" si="46"/>
        <v>0</v>
      </c>
      <c r="F742" s="1">
        <f t="shared" si="47"/>
        <v>501</v>
      </c>
    </row>
    <row r="743" spans="1:6" x14ac:dyDescent="0.25">
      <c r="A743" s="1">
        <v>742</v>
      </c>
      <c r="B743">
        <v>0.72682950212143449</v>
      </c>
      <c r="C743">
        <f t="shared" si="44"/>
        <v>90.081302397087555</v>
      </c>
      <c r="D743" s="1">
        <f t="shared" si="45"/>
        <v>75</v>
      </c>
      <c r="E743" s="1">
        <f t="shared" si="46"/>
        <v>0</v>
      </c>
      <c r="F743" s="1">
        <f t="shared" si="47"/>
        <v>501</v>
      </c>
    </row>
    <row r="744" spans="1:6" x14ac:dyDescent="0.25">
      <c r="A744" s="1">
        <v>743</v>
      </c>
      <c r="B744">
        <v>0.74320743309885895</v>
      </c>
      <c r="C744">
        <f t="shared" si="44"/>
        <v>91.331637348599443</v>
      </c>
      <c r="D744" s="1">
        <f t="shared" si="45"/>
        <v>75</v>
      </c>
      <c r="E744" s="1">
        <f t="shared" si="46"/>
        <v>0</v>
      </c>
      <c r="F744" s="1">
        <f t="shared" si="47"/>
        <v>501</v>
      </c>
    </row>
    <row r="745" spans="1:6" x14ac:dyDescent="0.25">
      <c r="A745" s="1">
        <v>744</v>
      </c>
      <c r="B745">
        <v>0.86022306114726255</v>
      </c>
      <c r="C745">
        <f t="shared" si="44"/>
        <v>102.03305150959341</v>
      </c>
      <c r="D745" s="1">
        <f t="shared" si="45"/>
        <v>75</v>
      </c>
      <c r="E745" s="1">
        <f t="shared" si="46"/>
        <v>0</v>
      </c>
      <c r="F745" s="1">
        <f t="shared" si="47"/>
        <v>501</v>
      </c>
    </row>
    <row r="746" spans="1:6" x14ac:dyDescent="0.25">
      <c r="A746" s="1">
        <v>745</v>
      </c>
      <c r="B746">
        <v>0.31858419076506039</v>
      </c>
      <c r="C746">
        <f t="shared" si="44"/>
        <v>63.208461092401365</v>
      </c>
      <c r="D746" s="1">
        <f t="shared" si="45"/>
        <v>63</v>
      </c>
      <c r="E746" s="1">
        <f t="shared" si="46"/>
        <v>12</v>
      </c>
      <c r="F746" s="1">
        <f t="shared" si="47"/>
        <v>416.52</v>
      </c>
    </row>
    <row r="747" spans="1:6" x14ac:dyDescent="0.25">
      <c r="A747" s="1">
        <v>746</v>
      </c>
      <c r="B747">
        <v>7.4090248076293275E-2</v>
      </c>
      <c r="C747">
        <f t="shared" si="44"/>
        <v>38.850293630342648</v>
      </c>
      <c r="D747" s="1">
        <f t="shared" si="45"/>
        <v>39</v>
      </c>
      <c r="E747" s="1">
        <f t="shared" si="46"/>
        <v>36</v>
      </c>
      <c r="F747" s="1">
        <f t="shared" si="47"/>
        <v>247.56</v>
      </c>
    </row>
    <row r="748" spans="1:6" x14ac:dyDescent="0.25">
      <c r="A748" s="1">
        <v>747</v>
      </c>
      <c r="B748">
        <v>0.90881124002702951</v>
      </c>
      <c r="C748">
        <f t="shared" si="44"/>
        <v>108.3367571784396</v>
      </c>
      <c r="D748" s="1">
        <f t="shared" si="45"/>
        <v>75</v>
      </c>
      <c r="E748" s="1">
        <f t="shared" si="46"/>
        <v>0</v>
      </c>
      <c r="F748" s="1">
        <f t="shared" si="47"/>
        <v>501</v>
      </c>
    </row>
    <row r="749" spans="1:6" x14ac:dyDescent="0.25">
      <c r="A749" s="1">
        <v>748</v>
      </c>
      <c r="B749">
        <v>0.78966834905540584</v>
      </c>
      <c r="C749">
        <f t="shared" si="44"/>
        <v>95.13177547174422</v>
      </c>
      <c r="D749" s="1">
        <f t="shared" si="45"/>
        <v>75</v>
      </c>
      <c r="E749" s="1">
        <f t="shared" si="46"/>
        <v>0</v>
      </c>
      <c r="F749" s="1">
        <f t="shared" si="47"/>
        <v>501</v>
      </c>
    </row>
    <row r="750" spans="1:6" x14ac:dyDescent="0.25">
      <c r="A750" s="1">
        <v>749</v>
      </c>
      <c r="B750">
        <v>0.9522816845626414</v>
      </c>
      <c r="C750">
        <f t="shared" si="44"/>
        <v>116.68478146901202</v>
      </c>
      <c r="D750" s="1">
        <f t="shared" si="45"/>
        <v>75</v>
      </c>
      <c r="E750" s="1">
        <f t="shared" si="46"/>
        <v>0</v>
      </c>
      <c r="F750" s="1">
        <f t="shared" si="47"/>
        <v>501</v>
      </c>
    </row>
    <row r="751" spans="1:6" x14ac:dyDescent="0.25">
      <c r="A751" s="1">
        <v>750</v>
      </c>
      <c r="B751">
        <v>0.48154104130265007</v>
      </c>
      <c r="C751">
        <f t="shared" si="44"/>
        <v>73.842843252248031</v>
      </c>
      <c r="D751" s="1">
        <f t="shared" si="45"/>
        <v>74</v>
      </c>
      <c r="E751" s="1">
        <f t="shared" si="46"/>
        <v>1</v>
      </c>
      <c r="F751" s="1">
        <f t="shared" si="47"/>
        <v>493.96</v>
      </c>
    </row>
    <row r="752" spans="1:6" x14ac:dyDescent="0.25">
      <c r="A752" s="1">
        <v>751</v>
      </c>
      <c r="B752">
        <v>0.35302666388793513</v>
      </c>
      <c r="C752">
        <f t="shared" si="44"/>
        <v>65.570953689529574</v>
      </c>
      <c r="D752" s="1">
        <f t="shared" si="45"/>
        <v>66</v>
      </c>
      <c r="E752" s="1">
        <f t="shared" si="46"/>
        <v>9</v>
      </c>
      <c r="F752" s="1">
        <f t="shared" si="47"/>
        <v>437.64</v>
      </c>
    </row>
    <row r="753" spans="1:6" x14ac:dyDescent="0.25">
      <c r="A753" s="1">
        <v>752</v>
      </c>
      <c r="B753">
        <v>0.80647487294107734</v>
      </c>
      <c r="C753">
        <f t="shared" si="44"/>
        <v>96.624477775057542</v>
      </c>
      <c r="D753" s="1">
        <f t="shared" si="45"/>
        <v>75</v>
      </c>
      <c r="E753" s="1">
        <f t="shared" si="46"/>
        <v>0</v>
      </c>
      <c r="F753" s="1">
        <f t="shared" si="47"/>
        <v>501</v>
      </c>
    </row>
    <row r="754" spans="1:6" x14ac:dyDescent="0.25">
      <c r="A754" s="1">
        <v>753</v>
      </c>
      <c r="B754">
        <v>0.51182017691389048</v>
      </c>
      <c r="C754">
        <f t="shared" si="44"/>
        <v>75.740828150243217</v>
      </c>
      <c r="D754" s="1">
        <f t="shared" si="45"/>
        <v>75</v>
      </c>
      <c r="E754" s="1">
        <f t="shared" si="46"/>
        <v>0</v>
      </c>
      <c r="F754" s="1">
        <f t="shared" si="47"/>
        <v>501</v>
      </c>
    </row>
    <row r="755" spans="1:6" x14ac:dyDescent="0.25">
      <c r="A755" s="1">
        <v>754</v>
      </c>
      <c r="B755">
        <v>0.7648326240232074</v>
      </c>
      <c r="C755">
        <f t="shared" si="44"/>
        <v>93.048362374960604</v>
      </c>
      <c r="D755" s="1">
        <f t="shared" si="45"/>
        <v>75</v>
      </c>
      <c r="E755" s="1">
        <f t="shared" si="46"/>
        <v>0</v>
      </c>
      <c r="F755" s="1">
        <f t="shared" si="47"/>
        <v>501</v>
      </c>
    </row>
    <row r="756" spans="1:6" x14ac:dyDescent="0.25">
      <c r="A756" s="1">
        <v>755</v>
      </c>
      <c r="B756">
        <v>0.6356211782570006</v>
      </c>
      <c r="C756">
        <f t="shared" si="44"/>
        <v>83.669465396180257</v>
      </c>
      <c r="D756" s="1">
        <f t="shared" si="45"/>
        <v>75</v>
      </c>
      <c r="E756" s="1">
        <f t="shared" si="46"/>
        <v>0</v>
      </c>
      <c r="F756" s="1">
        <f t="shared" si="47"/>
        <v>501</v>
      </c>
    </row>
    <row r="757" spans="1:6" x14ac:dyDescent="0.25">
      <c r="A757" s="1">
        <v>756</v>
      </c>
      <c r="B757">
        <v>0.90188886164974047</v>
      </c>
      <c r="C757">
        <f t="shared" si="44"/>
        <v>107.30973854058215</v>
      </c>
      <c r="D757" s="1">
        <f t="shared" si="45"/>
        <v>75</v>
      </c>
      <c r="E757" s="1">
        <f t="shared" si="46"/>
        <v>0</v>
      </c>
      <c r="F757" s="1">
        <f t="shared" si="47"/>
        <v>501</v>
      </c>
    </row>
    <row r="758" spans="1:6" x14ac:dyDescent="0.25">
      <c r="A758" s="1">
        <v>757</v>
      </c>
      <c r="B758">
        <v>0.17346130989673536</v>
      </c>
      <c r="C758">
        <f t="shared" si="44"/>
        <v>51.48562116683884</v>
      </c>
      <c r="D758" s="1">
        <f t="shared" si="45"/>
        <v>51</v>
      </c>
      <c r="E758" s="1">
        <f t="shared" si="46"/>
        <v>24</v>
      </c>
      <c r="F758" s="1">
        <f t="shared" si="47"/>
        <v>332.04</v>
      </c>
    </row>
    <row r="759" spans="1:6" x14ac:dyDescent="0.25">
      <c r="A759" s="1">
        <v>758</v>
      </c>
      <c r="B759">
        <v>0.41394190946530784</v>
      </c>
      <c r="C759">
        <f t="shared" si="44"/>
        <v>69.564588954665084</v>
      </c>
      <c r="D759" s="1">
        <f t="shared" si="45"/>
        <v>70</v>
      </c>
      <c r="E759" s="1">
        <f t="shared" si="46"/>
        <v>5</v>
      </c>
      <c r="F759" s="1">
        <f t="shared" si="47"/>
        <v>465.8</v>
      </c>
    </row>
    <row r="760" spans="1:6" x14ac:dyDescent="0.25">
      <c r="A760" s="1">
        <v>759</v>
      </c>
      <c r="B760">
        <v>4.1412628100602311E-2</v>
      </c>
      <c r="C760">
        <f t="shared" si="44"/>
        <v>31.636914812105239</v>
      </c>
      <c r="D760" s="1">
        <f t="shared" si="45"/>
        <v>32</v>
      </c>
      <c r="E760" s="1">
        <f t="shared" si="46"/>
        <v>43</v>
      </c>
      <c r="F760" s="1">
        <f t="shared" si="47"/>
        <v>198.28</v>
      </c>
    </row>
    <row r="761" spans="1:6" x14ac:dyDescent="0.25">
      <c r="A761" s="1">
        <v>760</v>
      </c>
      <c r="B761">
        <v>0.18491695525949092</v>
      </c>
      <c r="C761">
        <f t="shared" si="44"/>
        <v>52.580387035938124</v>
      </c>
      <c r="D761" s="1">
        <f t="shared" si="45"/>
        <v>53</v>
      </c>
      <c r="E761" s="1">
        <f t="shared" si="46"/>
        <v>22</v>
      </c>
      <c r="F761" s="1">
        <f t="shared" si="47"/>
        <v>346.12</v>
      </c>
    </row>
    <row r="762" spans="1:6" x14ac:dyDescent="0.25">
      <c r="A762" s="1">
        <v>761</v>
      </c>
      <c r="B762">
        <v>0.30812268506472773</v>
      </c>
      <c r="C762">
        <f t="shared" si="44"/>
        <v>62.470532740389388</v>
      </c>
      <c r="D762" s="1">
        <f t="shared" si="45"/>
        <v>62</v>
      </c>
      <c r="E762" s="1">
        <f t="shared" si="46"/>
        <v>13</v>
      </c>
      <c r="F762" s="1">
        <f t="shared" si="47"/>
        <v>409.48</v>
      </c>
    </row>
    <row r="763" spans="1:6" x14ac:dyDescent="0.25">
      <c r="A763" s="1">
        <v>762</v>
      </c>
      <c r="B763">
        <v>0.29469499901897223</v>
      </c>
      <c r="C763">
        <f t="shared" si="44"/>
        <v>61.506994669345019</v>
      </c>
      <c r="D763" s="1">
        <f t="shared" si="45"/>
        <v>62</v>
      </c>
      <c r="E763" s="1">
        <f t="shared" si="46"/>
        <v>13</v>
      </c>
      <c r="F763" s="1">
        <f t="shared" si="47"/>
        <v>409.48</v>
      </c>
    </row>
    <row r="764" spans="1:6" x14ac:dyDescent="0.25">
      <c r="A764" s="1">
        <v>763</v>
      </c>
      <c r="B764">
        <v>0.23544032098452572</v>
      </c>
      <c r="C764">
        <f t="shared" si="44"/>
        <v>56.973826784487372</v>
      </c>
      <c r="D764" s="1">
        <f t="shared" si="45"/>
        <v>57</v>
      </c>
      <c r="E764" s="1">
        <f t="shared" si="46"/>
        <v>18</v>
      </c>
      <c r="F764" s="1">
        <f t="shared" si="47"/>
        <v>374.28</v>
      </c>
    </row>
    <row r="765" spans="1:6" x14ac:dyDescent="0.25">
      <c r="A765" s="1">
        <v>764</v>
      </c>
      <c r="B765">
        <v>0.59092940306010677</v>
      </c>
      <c r="C765">
        <f t="shared" si="44"/>
        <v>80.748409904567183</v>
      </c>
      <c r="D765" s="1">
        <f t="shared" si="45"/>
        <v>75</v>
      </c>
      <c r="E765" s="1">
        <f t="shared" si="46"/>
        <v>0</v>
      </c>
      <c r="F765" s="1">
        <f t="shared" si="47"/>
        <v>501</v>
      </c>
    </row>
    <row r="766" spans="1:6" x14ac:dyDescent="0.25">
      <c r="A766" s="1">
        <v>765</v>
      </c>
      <c r="B766">
        <v>0.52976493765123123</v>
      </c>
      <c r="C766">
        <f t="shared" si="44"/>
        <v>76.866974744948493</v>
      </c>
      <c r="D766" s="1">
        <f t="shared" si="45"/>
        <v>75</v>
      </c>
      <c r="E766" s="1">
        <f t="shared" si="46"/>
        <v>0</v>
      </c>
      <c r="F766" s="1">
        <f t="shared" si="47"/>
        <v>501</v>
      </c>
    </row>
    <row r="767" spans="1:6" x14ac:dyDescent="0.25">
      <c r="A767" s="1">
        <v>766</v>
      </c>
      <c r="B767">
        <v>0.17785793333597566</v>
      </c>
      <c r="C767">
        <f t="shared" si="44"/>
        <v>51.911020100785763</v>
      </c>
      <c r="D767" s="1">
        <f t="shared" si="45"/>
        <v>52</v>
      </c>
      <c r="E767" s="1">
        <f t="shared" si="46"/>
        <v>23</v>
      </c>
      <c r="F767" s="1">
        <f t="shared" si="47"/>
        <v>339.08</v>
      </c>
    </row>
    <row r="768" spans="1:6" x14ac:dyDescent="0.25">
      <c r="A768" s="1">
        <v>767</v>
      </c>
      <c r="B768">
        <v>0.81708442995289843</v>
      </c>
      <c r="C768">
        <f t="shared" si="44"/>
        <v>97.607745549136013</v>
      </c>
      <c r="D768" s="1">
        <f t="shared" si="45"/>
        <v>75</v>
      </c>
      <c r="E768" s="1">
        <f t="shared" si="46"/>
        <v>0</v>
      </c>
      <c r="F768" s="1">
        <f t="shared" si="47"/>
        <v>501</v>
      </c>
    </row>
    <row r="769" spans="1:6" x14ac:dyDescent="0.25">
      <c r="A769" s="1">
        <v>768</v>
      </c>
      <c r="B769">
        <v>0.99603220287254823</v>
      </c>
      <c r="C769">
        <f t="shared" si="44"/>
        <v>141.36994682564728</v>
      </c>
      <c r="D769" s="1">
        <f t="shared" si="45"/>
        <v>75</v>
      </c>
      <c r="E769" s="1">
        <f t="shared" si="46"/>
        <v>0</v>
      </c>
      <c r="F769" s="1">
        <f t="shared" si="47"/>
        <v>501</v>
      </c>
    </row>
    <row r="770" spans="1:6" x14ac:dyDescent="0.25">
      <c r="A770" s="1">
        <v>769</v>
      </c>
      <c r="B770">
        <v>0.83799450300831746</v>
      </c>
      <c r="C770">
        <f t="shared" si="44"/>
        <v>99.656222225002949</v>
      </c>
      <c r="D770" s="1">
        <f t="shared" si="45"/>
        <v>75</v>
      </c>
      <c r="E770" s="1">
        <f t="shared" si="46"/>
        <v>0</v>
      </c>
      <c r="F770" s="1">
        <f t="shared" si="47"/>
        <v>501</v>
      </c>
    </row>
    <row r="771" spans="1:6" x14ac:dyDescent="0.25">
      <c r="A771" s="1">
        <v>770</v>
      </c>
      <c r="B771">
        <v>0.60211821151015799</v>
      </c>
      <c r="C771">
        <f t="shared" ref="C771:C834" si="48">_xlfn.NORM.INV(B771,75,25)</f>
        <v>81.470841782557031</v>
      </c>
      <c r="D771" s="1">
        <f t="shared" ref="D771:D834" si="49">MIN(ROUND(C771,0),$H$2)</f>
        <v>75</v>
      </c>
      <c r="E771" s="1">
        <f t="shared" ref="E771:E834" si="50">$H$2-D771</f>
        <v>0</v>
      </c>
      <c r="F771" s="1">
        <f t="shared" ref="F771:F834" si="51">7*D771-$H$2/25*8-E771/25*1</f>
        <v>501</v>
      </c>
    </row>
    <row r="772" spans="1:6" x14ac:dyDescent="0.25">
      <c r="A772" s="1">
        <v>771</v>
      </c>
      <c r="B772">
        <v>0.45460255335145205</v>
      </c>
      <c r="C772">
        <f t="shared" si="48"/>
        <v>72.148969151972295</v>
      </c>
      <c r="D772" s="1">
        <f t="shared" si="49"/>
        <v>72</v>
      </c>
      <c r="E772" s="1">
        <f t="shared" si="50"/>
        <v>3</v>
      </c>
      <c r="F772" s="1">
        <f t="shared" si="51"/>
        <v>479.88</v>
      </c>
    </row>
    <row r="773" spans="1:6" x14ac:dyDescent="0.25">
      <c r="A773" s="1">
        <v>772</v>
      </c>
      <c r="B773">
        <v>0.20762823866703584</v>
      </c>
      <c r="C773">
        <f t="shared" si="48"/>
        <v>54.633042481176702</v>
      </c>
      <c r="D773" s="1">
        <f t="shared" si="49"/>
        <v>55</v>
      </c>
      <c r="E773" s="1">
        <f t="shared" si="50"/>
        <v>20</v>
      </c>
      <c r="F773" s="1">
        <f t="shared" si="51"/>
        <v>360.2</v>
      </c>
    </row>
    <row r="774" spans="1:6" x14ac:dyDescent="0.25">
      <c r="A774" s="1">
        <v>773</v>
      </c>
      <c r="B774">
        <v>0.72733690831319309</v>
      </c>
      <c r="C774">
        <f t="shared" si="48"/>
        <v>90.119462411709861</v>
      </c>
      <c r="D774" s="1">
        <f t="shared" si="49"/>
        <v>75</v>
      </c>
      <c r="E774" s="1">
        <f t="shared" si="50"/>
        <v>0</v>
      </c>
      <c r="F774" s="1">
        <f t="shared" si="51"/>
        <v>501</v>
      </c>
    </row>
    <row r="775" spans="1:6" x14ac:dyDescent="0.25">
      <c r="A775" s="1">
        <v>774</v>
      </c>
      <c r="B775">
        <v>0.47235095051299714</v>
      </c>
      <c r="C775">
        <f t="shared" si="48"/>
        <v>73.265963360440111</v>
      </c>
      <c r="D775" s="1">
        <f t="shared" si="49"/>
        <v>73</v>
      </c>
      <c r="E775" s="1">
        <f t="shared" si="50"/>
        <v>2</v>
      </c>
      <c r="F775" s="1">
        <f t="shared" si="51"/>
        <v>486.92</v>
      </c>
    </row>
    <row r="776" spans="1:6" x14ac:dyDescent="0.25">
      <c r="A776" s="1">
        <v>775</v>
      </c>
      <c r="B776">
        <v>0.61313359455365268</v>
      </c>
      <c r="C776">
        <f t="shared" si="48"/>
        <v>82.187391946423418</v>
      </c>
      <c r="D776" s="1">
        <f t="shared" si="49"/>
        <v>75</v>
      </c>
      <c r="E776" s="1">
        <f t="shared" si="50"/>
        <v>0</v>
      </c>
      <c r="F776" s="1">
        <f t="shared" si="51"/>
        <v>501</v>
      </c>
    </row>
    <row r="777" spans="1:6" x14ac:dyDescent="0.25">
      <c r="A777" s="1">
        <v>776</v>
      </c>
      <c r="B777">
        <v>0.57369433795110136</v>
      </c>
      <c r="C777">
        <f t="shared" si="48"/>
        <v>79.644690156382552</v>
      </c>
      <c r="D777" s="1">
        <f t="shared" si="49"/>
        <v>75</v>
      </c>
      <c r="E777" s="1">
        <f t="shared" si="50"/>
        <v>0</v>
      </c>
      <c r="F777" s="1">
        <f t="shared" si="51"/>
        <v>501</v>
      </c>
    </row>
    <row r="778" spans="1:6" x14ac:dyDescent="0.25">
      <c r="A778" s="1">
        <v>777</v>
      </c>
      <c r="B778">
        <v>0.4840832170051611</v>
      </c>
      <c r="C778">
        <f t="shared" si="48"/>
        <v>74.002298773983313</v>
      </c>
      <c r="D778" s="1">
        <f t="shared" si="49"/>
        <v>74</v>
      </c>
      <c r="E778" s="1">
        <f t="shared" si="50"/>
        <v>1</v>
      </c>
      <c r="F778" s="1">
        <f t="shared" si="51"/>
        <v>493.96</v>
      </c>
    </row>
    <row r="779" spans="1:6" x14ac:dyDescent="0.25">
      <c r="A779" s="1">
        <v>778</v>
      </c>
      <c r="B779">
        <v>0.62539703095207189</v>
      </c>
      <c r="C779">
        <f t="shared" si="48"/>
        <v>82.992164363598988</v>
      </c>
      <c r="D779" s="1">
        <f t="shared" si="49"/>
        <v>75</v>
      </c>
      <c r="E779" s="1">
        <f t="shared" si="50"/>
        <v>0</v>
      </c>
      <c r="F779" s="1">
        <f t="shared" si="51"/>
        <v>501</v>
      </c>
    </row>
    <row r="780" spans="1:6" x14ac:dyDescent="0.25">
      <c r="A780" s="1">
        <v>779</v>
      </c>
      <c r="B780">
        <v>0.69441315125078062</v>
      </c>
      <c r="C780">
        <f t="shared" si="48"/>
        <v>87.709969881659873</v>
      </c>
      <c r="D780" s="1">
        <f t="shared" si="49"/>
        <v>75</v>
      </c>
      <c r="E780" s="1">
        <f t="shared" si="50"/>
        <v>0</v>
      </c>
      <c r="F780" s="1">
        <f t="shared" si="51"/>
        <v>501</v>
      </c>
    </row>
    <row r="781" spans="1:6" x14ac:dyDescent="0.25">
      <c r="A781" s="1">
        <v>780</v>
      </c>
      <c r="B781">
        <v>0.63248578907103381</v>
      </c>
      <c r="C781">
        <f t="shared" si="48"/>
        <v>83.461106611377573</v>
      </c>
      <c r="D781" s="1">
        <f t="shared" si="49"/>
        <v>75</v>
      </c>
      <c r="E781" s="1">
        <f t="shared" si="50"/>
        <v>0</v>
      </c>
      <c r="F781" s="1">
        <f t="shared" si="51"/>
        <v>501</v>
      </c>
    </row>
    <row r="782" spans="1:6" x14ac:dyDescent="0.25">
      <c r="A782" s="1">
        <v>781</v>
      </c>
      <c r="B782">
        <v>0.7602649162101407</v>
      </c>
      <c r="C782">
        <f t="shared" si="48"/>
        <v>92.678874689359745</v>
      </c>
      <c r="D782" s="1">
        <f t="shared" si="49"/>
        <v>75</v>
      </c>
      <c r="E782" s="1">
        <f t="shared" si="50"/>
        <v>0</v>
      </c>
      <c r="F782" s="1">
        <f t="shared" si="51"/>
        <v>501</v>
      </c>
    </row>
    <row r="783" spans="1:6" x14ac:dyDescent="0.25">
      <c r="A783" s="1">
        <v>782</v>
      </c>
      <c r="B783">
        <v>0.1422771773015894</v>
      </c>
      <c r="C783">
        <f t="shared" si="48"/>
        <v>48.246392120837243</v>
      </c>
      <c r="D783" s="1">
        <f t="shared" si="49"/>
        <v>48</v>
      </c>
      <c r="E783" s="1">
        <f t="shared" si="50"/>
        <v>27</v>
      </c>
      <c r="F783" s="1">
        <f t="shared" si="51"/>
        <v>310.92</v>
      </c>
    </row>
    <row r="784" spans="1:6" x14ac:dyDescent="0.25">
      <c r="A784" s="1">
        <v>783</v>
      </c>
      <c r="B784">
        <v>0.56835166724548269</v>
      </c>
      <c r="C784">
        <f t="shared" si="48"/>
        <v>79.304479496150975</v>
      </c>
      <c r="D784" s="1">
        <f t="shared" si="49"/>
        <v>75</v>
      </c>
      <c r="E784" s="1">
        <f t="shared" si="50"/>
        <v>0</v>
      </c>
      <c r="F784" s="1">
        <f t="shared" si="51"/>
        <v>501</v>
      </c>
    </row>
    <row r="785" spans="1:6" x14ac:dyDescent="0.25">
      <c r="A785" s="1">
        <v>784</v>
      </c>
      <c r="B785">
        <v>0.93686732272579076</v>
      </c>
      <c r="C785">
        <f t="shared" si="48"/>
        <v>113.22490816759719</v>
      </c>
      <c r="D785" s="1">
        <f t="shared" si="49"/>
        <v>75</v>
      </c>
      <c r="E785" s="1">
        <f t="shared" si="50"/>
        <v>0</v>
      </c>
      <c r="F785" s="1">
        <f t="shared" si="51"/>
        <v>501</v>
      </c>
    </row>
    <row r="786" spans="1:6" x14ac:dyDescent="0.25">
      <c r="A786" s="1">
        <v>785</v>
      </c>
      <c r="B786">
        <v>0.39678755042508718</v>
      </c>
      <c r="C786">
        <f t="shared" si="48"/>
        <v>68.458225016698165</v>
      </c>
      <c r="D786" s="1">
        <f t="shared" si="49"/>
        <v>68</v>
      </c>
      <c r="E786" s="1">
        <f t="shared" si="50"/>
        <v>7</v>
      </c>
      <c r="F786" s="1">
        <f t="shared" si="51"/>
        <v>451.72</v>
      </c>
    </row>
    <row r="787" spans="1:6" x14ac:dyDescent="0.25">
      <c r="A787" s="1">
        <v>786</v>
      </c>
      <c r="B787">
        <v>0.66292132746608001</v>
      </c>
      <c r="C787">
        <f t="shared" si="48"/>
        <v>85.511229575838001</v>
      </c>
      <c r="D787" s="1">
        <f t="shared" si="49"/>
        <v>75</v>
      </c>
      <c r="E787" s="1">
        <f t="shared" si="50"/>
        <v>0</v>
      </c>
      <c r="F787" s="1">
        <f t="shared" si="51"/>
        <v>501</v>
      </c>
    </row>
    <row r="788" spans="1:6" x14ac:dyDescent="0.25">
      <c r="A788" s="1">
        <v>787</v>
      </c>
      <c r="B788">
        <v>0.85329455964151912</v>
      </c>
      <c r="C788">
        <f t="shared" si="48"/>
        <v>101.26671181871403</v>
      </c>
      <c r="D788" s="1">
        <f t="shared" si="49"/>
        <v>75</v>
      </c>
      <c r="E788" s="1">
        <f t="shared" si="50"/>
        <v>0</v>
      </c>
      <c r="F788" s="1">
        <f t="shared" si="51"/>
        <v>501</v>
      </c>
    </row>
    <row r="789" spans="1:6" x14ac:dyDescent="0.25">
      <c r="A789" s="1">
        <v>788</v>
      </c>
      <c r="B789">
        <v>0.92269525330601754</v>
      </c>
      <c r="C789">
        <f t="shared" si="48"/>
        <v>110.58592668995607</v>
      </c>
      <c r="D789" s="1">
        <f t="shared" si="49"/>
        <v>75</v>
      </c>
      <c r="E789" s="1">
        <f t="shared" si="50"/>
        <v>0</v>
      </c>
      <c r="F789" s="1">
        <f t="shared" si="51"/>
        <v>501</v>
      </c>
    </row>
    <row r="790" spans="1:6" x14ac:dyDescent="0.25">
      <c r="A790" s="1">
        <v>789</v>
      </c>
      <c r="B790">
        <v>0.72653832348311986</v>
      </c>
      <c r="C790">
        <f t="shared" si="48"/>
        <v>90.059419865299162</v>
      </c>
      <c r="D790" s="1">
        <f t="shared" si="49"/>
        <v>75</v>
      </c>
      <c r="E790" s="1">
        <f t="shared" si="50"/>
        <v>0</v>
      </c>
      <c r="F790" s="1">
        <f t="shared" si="51"/>
        <v>501</v>
      </c>
    </row>
    <row r="791" spans="1:6" x14ac:dyDescent="0.25">
      <c r="A791" s="1">
        <v>790</v>
      </c>
      <c r="B791">
        <v>0.30695308117072717</v>
      </c>
      <c r="C791">
        <f t="shared" si="48"/>
        <v>62.387361223746638</v>
      </c>
      <c r="D791" s="1">
        <f t="shared" si="49"/>
        <v>62</v>
      </c>
      <c r="E791" s="1">
        <f t="shared" si="50"/>
        <v>13</v>
      </c>
      <c r="F791" s="1">
        <f t="shared" si="51"/>
        <v>409.48</v>
      </c>
    </row>
    <row r="792" spans="1:6" x14ac:dyDescent="0.25">
      <c r="A792" s="1">
        <v>791</v>
      </c>
      <c r="B792">
        <v>0.30255403767619471</v>
      </c>
      <c r="C792">
        <f t="shared" si="48"/>
        <v>62.073277954733392</v>
      </c>
      <c r="D792" s="1">
        <f t="shared" si="49"/>
        <v>62</v>
      </c>
      <c r="E792" s="1">
        <f t="shared" si="50"/>
        <v>13</v>
      </c>
      <c r="F792" s="1">
        <f t="shared" si="51"/>
        <v>409.48</v>
      </c>
    </row>
    <row r="793" spans="1:6" x14ac:dyDescent="0.25">
      <c r="A793" s="1">
        <v>792</v>
      </c>
      <c r="B793">
        <v>0.28732902943751903</v>
      </c>
      <c r="C793">
        <f t="shared" si="48"/>
        <v>60.969884685416389</v>
      </c>
      <c r="D793" s="1">
        <f t="shared" si="49"/>
        <v>61</v>
      </c>
      <c r="E793" s="1">
        <f t="shared" si="50"/>
        <v>14</v>
      </c>
      <c r="F793" s="1">
        <f t="shared" si="51"/>
        <v>402.44</v>
      </c>
    </row>
    <row r="794" spans="1:6" x14ac:dyDescent="0.25">
      <c r="A794" s="1">
        <v>793</v>
      </c>
      <c r="B794">
        <v>0.69753696918924379</v>
      </c>
      <c r="C794">
        <f t="shared" si="48"/>
        <v>87.933241179421643</v>
      </c>
      <c r="D794" s="1">
        <f t="shared" si="49"/>
        <v>75</v>
      </c>
      <c r="E794" s="1">
        <f t="shared" si="50"/>
        <v>0</v>
      </c>
      <c r="F794" s="1">
        <f t="shared" si="51"/>
        <v>501</v>
      </c>
    </row>
    <row r="795" spans="1:6" x14ac:dyDescent="0.25">
      <c r="A795" s="1">
        <v>794</v>
      </c>
      <c r="B795">
        <v>0.66985205184640639</v>
      </c>
      <c r="C795">
        <f t="shared" si="48"/>
        <v>85.987616841071102</v>
      </c>
      <c r="D795" s="1">
        <f t="shared" si="49"/>
        <v>75</v>
      </c>
      <c r="E795" s="1">
        <f t="shared" si="50"/>
        <v>0</v>
      </c>
      <c r="F795" s="1">
        <f t="shared" si="51"/>
        <v>501</v>
      </c>
    </row>
    <row r="796" spans="1:6" x14ac:dyDescent="0.25">
      <c r="A796" s="1">
        <v>795</v>
      </c>
      <c r="B796">
        <v>0.51273587136128951</v>
      </c>
      <c r="C796">
        <f t="shared" si="48"/>
        <v>75.798237993839422</v>
      </c>
      <c r="D796" s="1">
        <f t="shared" si="49"/>
        <v>75</v>
      </c>
      <c r="E796" s="1">
        <f t="shared" si="50"/>
        <v>0</v>
      </c>
      <c r="F796" s="1">
        <f t="shared" si="51"/>
        <v>501</v>
      </c>
    </row>
    <row r="797" spans="1:6" x14ac:dyDescent="0.25">
      <c r="A797" s="1">
        <v>796</v>
      </c>
      <c r="B797">
        <v>3.161689763861919E-2</v>
      </c>
      <c r="C797">
        <f t="shared" si="48"/>
        <v>28.561399644484247</v>
      </c>
      <c r="D797" s="1">
        <f t="shared" si="49"/>
        <v>29</v>
      </c>
      <c r="E797" s="1">
        <f t="shared" si="50"/>
        <v>46</v>
      </c>
      <c r="F797" s="1">
        <f t="shared" si="51"/>
        <v>177.16</v>
      </c>
    </row>
    <row r="798" spans="1:6" x14ac:dyDescent="0.25">
      <c r="A798" s="1">
        <v>797</v>
      </c>
      <c r="B798">
        <v>0.74385556993595525</v>
      </c>
      <c r="C798">
        <f t="shared" si="48"/>
        <v>91.381946990069906</v>
      </c>
      <c r="D798" s="1">
        <f t="shared" si="49"/>
        <v>75</v>
      </c>
      <c r="E798" s="1">
        <f t="shared" si="50"/>
        <v>0</v>
      </c>
      <c r="F798" s="1">
        <f t="shared" si="51"/>
        <v>501</v>
      </c>
    </row>
    <row r="799" spans="1:6" x14ac:dyDescent="0.25">
      <c r="A799" s="1">
        <v>798</v>
      </c>
      <c r="B799">
        <v>7.1306482193148946E-2</v>
      </c>
      <c r="C799">
        <f t="shared" si="48"/>
        <v>38.346758279111349</v>
      </c>
      <c r="D799" s="1">
        <f t="shared" si="49"/>
        <v>38</v>
      </c>
      <c r="E799" s="1">
        <f t="shared" si="50"/>
        <v>37</v>
      </c>
      <c r="F799" s="1">
        <f t="shared" si="51"/>
        <v>240.52</v>
      </c>
    </row>
    <row r="800" spans="1:6" x14ac:dyDescent="0.25">
      <c r="A800" s="1">
        <v>799</v>
      </c>
      <c r="B800">
        <v>0.98878928770278607</v>
      </c>
      <c r="C800">
        <f t="shared" si="48"/>
        <v>132.07879652630402</v>
      </c>
      <c r="D800" s="1">
        <f t="shared" si="49"/>
        <v>75</v>
      </c>
      <c r="E800" s="1">
        <f t="shared" si="50"/>
        <v>0</v>
      </c>
      <c r="F800" s="1">
        <f t="shared" si="51"/>
        <v>501</v>
      </c>
    </row>
    <row r="801" spans="1:6" x14ac:dyDescent="0.25">
      <c r="A801" s="1">
        <v>800</v>
      </c>
      <c r="B801">
        <v>0.58557969843142155</v>
      </c>
      <c r="C801">
        <f t="shared" si="48"/>
        <v>80.404719368027159</v>
      </c>
      <c r="D801" s="1">
        <f t="shared" si="49"/>
        <v>75</v>
      </c>
      <c r="E801" s="1">
        <f t="shared" si="50"/>
        <v>0</v>
      </c>
      <c r="F801" s="1">
        <f t="shared" si="51"/>
        <v>501</v>
      </c>
    </row>
    <row r="802" spans="1:6" x14ac:dyDescent="0.25">
      <c r="A802" s="1">
        <v>801</v>
      </c>
      <c r="B802">
        <v>0.33077442625641895</v>
      </c>
      <c r="C802">
        <f t="shared" si="48"/>
        <v>64.055606282471445</v>
      </c>
      <c r="D802" s="1">
        <f t="shared" si="49"/>
        <v>64</v>
      </c>
      <c r="E802" s="1">
        <f t="shared" si="50"/>
        <v>11</v>
      </c>
      <c r="F802" s="1">
        <f t="shared" si="51"/>
        <v>423.56</v>
      </c>
    </row>
    <row r="803" spans="1:6" x14ac:dyDescent="0.25">
      <c r="A803" s="1">
        <v>802</v>
      </c>
      <c r="B803">
        <v>0.65471931523541982</v>
      </c>
      <c r="C803">
        <f t="shared" si="48"/>
        <v>84.952333972903631</v>
      </c>
      <c r="D803" s="1">
        <f t="shared" si="49"/>
        <v>75</v>
      </c>
      <c r="E803" s="1">
        <f t="shared" si="50"/>
        <v>0</v>
      </c>
      <c r="F803" s="1">
        <f t="shared" si="51"/>
        <v>501</v>
      </c>
    </row>
    <row r="804" spans="1:6" x14ac:dyDescent="0.25">
      <c r="A804" s="1">
        <v>803</v>
      </c>
      <c r="B804">
        <v>0.26772032428990999</v>
      </c>
      <c r="C804">
        <f t="shared" si="48"/>
        <v>59.506943150447817</v>
      </c>
      <c r="D804" s="1">
        <f t="shared" si="49"/>
        <v>60</v>
      </c>
      <c r="E804" s="1">
        <f t="shared" si="50"/>
        <v>15</v>
      </c>
      <c r="F804" s="1">
        <f t="shared" si="51"/>
        <v>395.4</v>
      </c>
    </row>
    <row r="805" spans="1:6" x14ac:dyDescent="0.25">
      <c r="A805" s="1">
        <v>804</v>
      </c>
      <c r="B805">
        <v>0.83216752140345662</v>
      </c>
      <c r="C805">
        <f t="shared" si="48"/>
        <v>99.069150480176688</v>
      </c>
      <c r="D805" s="1">
        <f t="shared" si="49"/>
        <v>75</v>
      </c>
      <c r="E805" s="1">
        <f t="shared" si="50"/>
        <v>0</v>
      </c>
      <c r="F805" s="1">
        <f t="shared" si="51"/>
        <v>501</v>
      </c>
    </row>
    <row r="806" spans="1:6" x14ac:dyDescent="0.25">
      <c r="A806" s="1">
        <v>805</v>
      </c>
      <c r="B806">
        <v>0.28099836179255766</v>
      </c>
      <c r="C806">
        <f t="shared" si="48"/>
        <v>60.503043734168983</v>
      </c>
      <c r="D806" s="1">
        <f t="shared" si="49"/>
        <v>61</v>
      </c>
      <c r="E806" s="1">
        <f t="shared" si="50"/>
        <v>14</v>
      </c>
      <c r="F806" s="1">
        <f t="shared" si="51"/>
        <v>402.44</v>
      </c>
    </row>
    <row r="807" spans="1:6" x14ac:dyDescent="0.25">
      <c r="A807" s="1">
        <v>806</v>
      </c>
      <c r="B807">
        <v>0.85084660226338837</v>
      </c>
      <c r="C807">
        <f t="shared" si="48"/>
        <v>101.00178147020868</v>
      </c>
      <c r="D807" s="1">
        <f t="shared" si="49"/>
        <v>75</v>
      </c>
      <c r="E807" s="1">
        <f t="shared" si="50"/>
        <v>0</v>
      </c>
      <c r="F807" s="1">
        <f t="shared" si="51"/>
        <v>501</v>
      </c>
    </row>
    <row r="808" spans="1:6" x14ac:dyDescent="0.25">
      <c r="A808" s="1">
        <v>807</v>
      </c>
      <c r="B808">
        <v>0.1715986661695047</v>
      </c>
      <c r="C808">
        <f t="shared" si="48"/>
        <v>51.303333139727457</v>
      </c>
      <c r="D808" s="1">
        <f t="shared" si="49"/>
        <v>51</v>
      </c>
      <c r="E808" s="1">
        <f t="shared" si="50"/>
        <v>24</v>
      </c>
      <c r="F808" s="1">
        <f t="shared" si="51"/>
        <v>332.04</v>
      </c>
    </row>
    <row r="809" spans="1:6" x14ac:dyDescent="0.25">
      <c r="A809" s="1">
        <v>808</v>
      </c>
      <c r="B809">
        <v>5.3644744872469174E-2</v>
      </c>
      <c r="C809">
        <f t="shared" si="48"/>
        <v>34.737585301415443</v>
      </c>
      <c r="D809" s="1">
        <f t="shared" si="49"/>
        <v>35</v>
      </c>
      <c r="E809" s="1">
        <f t="shared" si="50"/>
        <v>40</v>
      </c>
      <c r="F809" s="1">
        <f t="shared" si="51"/>
        <v>219.4</v>
      </c>
    </row>
    <row r="810" spans="1:6" x14ac:dyDescent="0.25">
      <c r="A810" s="1">
        <v>809</v>
      </c>
      <c r="B810">
        <v>0.10311806792662459</v>
      </c>
      <c r="C810">
        <f t="shared" si="48"/>
        <v>43.400425494244459</v>
      </c>
      <c r="D810" s="1">
        <f t="shared" si="49"/>
        <v>43</v>
      </c>
      <c r="E810" s="1">
        <f t="shared" si="50"/>
        <v>32</v>
      </c>
      <c r="F810" s="1">
        <f t="shared" si="51"/>
        <v>275.72000000000003</v>
      </c>
    </row>
    <row r="811" spans="1:6" x14ac:dyDescent="0.25">
      <c r="A811" s="1">
        <v>810</v>
      </c>
      <c r="B811">
        <v>0.50211759595285232</v>
      </c>
      <c r="C811">
        <f t="shared" si="48"/>
        <v>75.132701270390939</v>
      </c>
      <c r="D811" s="1">
        <f t="shared" si="49"/>
        <v>75</v>
      </c>
      <c r="E811" s="1">
        <f t="shared" si="50"/>
        <v>0</v>
      </c>
      <c r="F811" s="1">
        <f t="shared" si="51"/>
        <v>501</v>
      </c>
    </row>
    <row r="812" spans="1:6" x14ac:dyDescent="0.25">
      <c r="A812" s="1">
        <v>811</v>
      </c>
      <c r="B812">
        <v>0.10779244241565411</v>
      </c>
      <c r="C812">
        <f t="shared" si="48"/>
        <v>44.041153757066652</v>
      </c>
      <c r="D812" s="1">
        <f t="shared" si="49"/>
        <v>44</v>
      </c>
      <c r="E812" s="1">
        <f t="shared" si="50"/>
        <v>31</v>
      </c>
      <c r="F812" s="1">
        <f t="shared" si="51"/>
        <v>282.76</v>
      </c>
    </row>
    <row r="813" spans="1:6" x14ac:dyDescent="0.25">
      <c r="A813" s="1">
        <v>812</v>
      </c>
      <c r="B813">
        <v>6.2304450400794353E-2</v>
      </c>
      <c r="C813">
        <f t="shared" si="48"/>
        <v>36.607186770771278</v>
      </c>
      <c r="D813" s="1">
        <f t="shared" si="49"/>
        <v>37</v>
      </c>
      <c r="E813" s="1">
        <f t="shared" si="50"/>
        <v>38</v>
      </c>
      <c r="F813" s="1">
        <f t="shared" si="51"/>
        <v>233.48</v>
      </c>
    </row>
    <row r="814" spans="1:6" x14ac:dyDescent="0.25">
      <c r="A814" s="1">
        <v>813</v>
      </c>
      <c r="B814">
        <v>0.93758566652492425</v>
      </c>
      <c r="C814">
        <f t="shared" si="48"/>
        <v>113.3704370896654</v>
      </c>
      <c r="D814" s="1">
        <f t="shared" si="49"/>
        <v>75</v>
      </c>
      <c r="E814" s="1">
        <f t="shared" si="50"/>
        <v>0</v>
      </c>
      <c r="F814" s="1">
        <f t="shared" si="51"/>
        <v>501</v>
      </c>
    </row>
    <row r="815" spans="1:6" x14ac:dyDescent="0.25">
      <c r="A815" s="1">
        <v>814</v>
      </c>
      <c r="B815">
        <v>0.94237406382682831</v>
      </c>
      <c r="C815">
        <f t="shared" si="48"/>
        <v>114.37549521453388</v>
      </c>
      <c r="D815" s="1">
        <f t="shared" si="49"/>
        <v>75</v>
      </c>
      <c r="E815" s="1">
        <f t="shared" si="50"/>
        <v>0</v>
      </c>
      <c r="F815" s="1">
        <f t="shared" si="51"/>
        <v>501</v>
      </c>
    </row>
    <row r="816" spans="1:6" x14ac:dyDescent="0.25">
      <c r="A816" s="1">
        <v>815</v>
      </c>
      <c r="B816">
        <v>8.7108526365627825E-2</v>
      </c>
      <c r="C816">
        <f t="shared" si="48"/>
        <v>41.03055836296685</v>
      </c>
      <c r="D816" s="1">
        <f t="shared" si="49"/>
        <v>41</v>
      </c>
      <c r="E816" s="1">
        <f t="shared" si="50"/>
        <v>34</v>
      </c>
      <c r="F816" s="1">
        <f t="shared" si="51"/>
        <v>261.64</v>
      </c>
    </row>
    <row r="817" spans="1:6" x14ac:dyDescent="0.25">
      <c r="A817" s="1">
        <v>816</v>
      </c>
      <c r="B817">
        <v>0.30637011318402119</v>
      </c>
      <c r="C817">
        <f t="shared" si="48"/>
        <v>62.345853749088093</v>
      </c>
      <c r="D817" s="1">
        <f t="shared" si="49"/>
        <v>62</v>
      </c>
      <c r="E817" s="1">
        <f t="shared" si="50"/>
        <v>13</v>
      </c>
      <c r="F817" s="1">
        <f t="shared" si="51"/>
        <v>409.48</v>
      </c>
    </row>
    <row r="818" spans="1:6" x14ac:dyDescent="0.25">
      <c r="A818" s="1">
        <v>817</v>
      </c>
      <c r="B818">
        <v>0.99771236664482843</v>
      </c>
      <c r="C818">
        <f t="shared" si="48"/>
        <v>145.88773526804232</v>
      </c>
      <c r="D818" s="1">
        <f t="shared" si="49"/>
        <v>75</v>
      </c>
      <c r="E818" s="1">
        <f t="shared" si="50"/>
        <v>0</v>
      </c>
      <c r="F818" s="1">
        <f t="shared" si="51"/>
        <v>501</v>
      </c>
    </row>
    <row r="819" spans="1:6" x14ac:dyDescent="0.25">
      <c r="A819" s="1">
        <v>818</v>
      </c>
      <c r="B819">
        <v>0.42979785097581868</v>
      </c>
      <c r="C819">
        <f t="shared" si="48"/>
        <v>70.577778909961992</v>
      </c>
      <c r="D819" s="1">
        <f t="shared" si="49"/>
        <v>71</v>
      </c>
      <c r="E819" s="1">
        <f t="shared" si="50"/>
        <v>4</v>
      </c>
      <c r="F819" s="1">
        <f t="shared" si="51"/>
        <v>472.84</v>
      </c>
    </row>
    <row r="820" spans="1:6" x14ac:dyDescent="0.25">
      <c r="A820" s="1">
        <v>819</v>
      </c>
      <c r="B820">
        <v>0.69861692450187884</v>
      </c>
      <c r="C820">
        <f t="shared" si="48"/>
        <v>88.01066942257799</v>
      </c>
      <c r="D820" s="1">
        <f t="shared" si="49"/>
        <v>75</v>
      </c>
      <c r="E820" s="1">
        <f t="shared" si="50"/>
        <v>0</v>
      </c>
      <c r="F820" s="1">
        <f t="shared" si="51"/>
        <v>501</v>
      </c>
    </row>
    <row r="821" spans="1:6" x14ac:dyDescent="0.25">
      <c r="A821" s="1">
        <v>820</v>
      </c>
      <c r="B821">
        <v>0.62085696991596173</v>
      </c>
      <c r="C821">
        <f t="shared" si="48"/>
        <v>82.693306829932013</v>
      </c>
      <c r="D821" s="1">
        <f t="shared" si="49"/>
        <v>75</v>
      </c>
      <c r="E821" s="1">
        <f t="shared" si="50"/>
        <v>0</v>
      </c>
      <c r="F821" s="1">
        <f t="shared" si="51"/>
        <v>501</v>
      </c>
    </row>
    <row r="822" spans="1:6" x14ac:dyDescent="0.25">
      <c r="A822" s="1">
        <v>821</v>
      </c>
      <c r="B822">
        <v>0.92351063779740927</v>
      </c>
      <c r="C822">
        <f t="shared" si="48"/>
        <v>110.72721893723181</v>
      </c>
      <c r="D822" s="1">
        <f t="shared" si="49"/>
        <v>75</v>
      </c>
      <c r="E822" s="1">
        <f t="shared" si="50"/>
        <v>0</v>
      </c>
      <c r="F822" s="1">
        <f t="shared" si="51"/>
        <v>501</v>
      </c>
    </row>
    <row r="823" spans="1:6" x14ac:dyDescent="0.25">
      <c r="A823" s="1">
        <v>822</v>
      </c>
      <c r="B823">
        <v>0.77962137868635906</v>
      </c>
      <c r="C823">
        <f t="shared" si="48"/>
        <v>94.272878074157745</v>
      </c>
      <c r="D823" s="1">
        <f t="shared" si="49"/>
        <v>75</v>
      </c>
      <c r="E823" s="1">
        <f t="shared" si="50"/>
        <v>0</v>
      </c>
      <c r="F823" s="1">
        <f t="shared" si="51"/>
        <v>501</v>
      </c>
    </row>
    <row r="824" spans="1:6" x14ac:dyDescent="0.25">
      <c r="A824" s="1">
        <v>823</v>
      </c>
      <c r="B824">
        <v>0.21113087856032131</v>
      </c>
      <c r="C824">
        <f t="shared" si="48"/>
        <v>54.937412175668527</v>
      </c>
      <c r="D824" s="1">
        <f t="shared" si="49"/>
        <v>55</v>
      </c>
      <c r="E824" s="1">
        <f t="shared" si="50"/>
        <v>20</v>
      </c>
      <c r="F824" s="1">
        <f t="shared" si="51"/>
        <v>360.2</v>
      </c>
    </row>
    <row r="825" spans="1:6" x14ac:dyDescent="0.25">
      <c r="A825" s="1">
        <v>824</v>
      </c>
      <c r="B825">
        <v>0.15725601880594142</v>
      </c>
      <c r="C825">
        <f t="shared" si="48"/>
        <v>49.855013005909676</v>
      </c>
      <c r="D825" s="1">
        <f t="shared" si="49"/>
        <v>50</v>
      </c>
      <c r="E825" s="1">
        <f t="shared" si="50"/>
        <v>25</v>
      </c>
      <c r="F825" s="1">
        <f t="shared" si="51"/>
        <v>325</v>
      </c>
    </row>
    <row r="826" spans="1:6" x14ac:dyDescent="0.25">
      <c r="A826" s="1">
        <v>825</v>
      </c>
      <c r="B826">
        <v>0.46106391207719966</v>
      </c>
      <c r="C826">
        <f t="shared" si="48"/>
        <v>72.556155953616638</v>
      </c>
      <c r="D826" s="1">
        <f t="shared" si="49"/>
        <v>73</v>
      </c>
      <c r="E826" s="1">
        <f t="shared" si="50"/>
        <v>2</v>
      </c>
      <c r="F826" s="1">
        <f t="shared" si="51"/>
        <v>486.92</v>
      </c>
    </row>
    <row r="827" spans="1:6" x14ac:dyDescent="0.25">
      <c r="A827" s="1">
        <v>826</v>
      </c>
      <c r="B827">
        <v>0.98210403364134258</v>
      </c>
      <c r="C827">
        <f t="shared" si="48"/>
        <v>127.48208305550475</v>
      </c>
      <c r="D827" s="1">
        <f t="shared" si="49"/>
        <v>75</v>
      </c>
      <c r="E827" s="1">
        <f t="shared" si="50"/>
        <v>0</v>
      </c>
      <c r="F827" s="1">
        <f t="shared" si="51"/>
        <v>501</v>
      </c>
    </row>
    <row r="828" spans="1:6" x14ac:dyDescent="0.25">
      <c r="A828" s="1">
        <v>827</v>
      </c>
      <c r="B828">
        <v>0.951099901562104</v>
      </c>
      <c r="C828">
        <f t="shared" si="48"/>
        <v>116.39032733834378</v>
      </c>
      <c r="D828" s="1">
        <f t="shared" si="49"/>
        <v>75</v>
      </c>
      <c r="E828" s="1">
        <f t="shared" si="50"/>
        <v>0</v>
      </c>
      <c r="F828" s="1">
        <f t="shared" si="51"/>
        <v>501</v>
      </c>
    </row>
    <row r="829" spans="1:6" x14ac:dyDescent="0.25">
      <c r="A829" s="1">
        <v>828</v>
      </c>
      <c r="B829">
        <v>0.2484980887251218</v>
      </c>
      <c r="C829">
        <f t="shared" si="48"/>
        <v>58.019409263264485</v>
      </c>
      <c r="D829" s="1">
        <f t="shared" si="49"/>
        <v>58</v>
      </c>
      <c r="E829" s="1">
        <f t="shared" si="50"/>
        <v>17</v>
      </c>
      <c r="F829" s="1">
        <f t="shared" si="51"/>
        <v>381.32</v>
      </c>
    </row>
    <row r="830" spans="1:6" x14ac:dyDescent="0.25">
      <c r="A830" s="1">
        <v>829</v>
      </c>
      <c r="B830">
        <v>7.7090098801814833E-2</v>
      </c>
      <c r="C830">
        <f t="shared" si="48"/>
        <v>39.376988756815251</v>
      </c>
      <c r="D830" s="1">
        <f t="shared" si="49"/>
        <v>39</v>
      </c>
      <c r="E830" s="1">
        <f t="shared" si="50"/>
        <v>36</v>
      </c>
      <c r="F830" s="1">
        <f t="shared" si="51"/>
        <v>247.56</v>
      </c>
    </row>
    <row r="831" spans="1:6" x14ac:dyDescent="0.25">
      <c r="A831" s="1">
        <v>830</v>
      </c>
      <c r="B831">
        <v>0.6190994756637006</v>
      </c>
      <c r="C831">
        <f t="shared" si="48"/>
        <v>82.577913532462517</v>
      </c>
      <c r="D831" s="1">
        <f t="shared" si="49"/>
        <v>75</v>
      </c>
      <c r="E831" s="1">
        <f t="shared" si="50"/>
        <v>0</v>
      </c>
      <c r="F831" s="1">
        <f t="shared" si="51"/>
        <v>501</v>
      </c>
    </row>
    <row r="832" spans="1:6" x14ac:dyDescent="0.25">
      <c r="A832" s="1">
        <v>831</v>
      </c>
      <c r="B832">
        <v>6.1976747683723743E-2</v>
      </c>
      <c r="C832">
        <f t="shared" si="48"/>
        <v>36.540271436320829</v>
      </c>
      <c r="D832" s="1">
        <f t="shared" si="49"/>
        <v>37</v>
      </c>
      <c r="E832" s="1">
        <f t="shared" si="50"/>
        <v>38</v>
      </c>
      <c r="F832" s="1">
        <f t="shared" si="51"/>
        <v>233.48</v>
      </c>
    </row>
    <row r="833" spans="1:6" x14ac:dyDescent="0.25">
      <c r="A833" s="1">
        <v>832</v>
      </c>
      <c r="B833">
        <v>0.38788087189337495</v>
      </c>
      <c r="C833">
        <f t="shared" si="48"/>
        <v>67.878837447359601</v>
      </c>
      <c r="D833" s="1">
        <f t="shared" si="49"/>
        <v>68</v>
      </c>
      <c r="E833" s="1">
        <f t="shared" si="50"/>
        <v>7</v>
      </c>
      <c r="F833" s="1">
        <f t="shared" si="51"/>
        <v>451.72</v>
      </c>
    </row>
    <row r="834" spans="1:6" x14ac:dyDescent="0.25">
      <c r="A834" s="1">
        <v>833</v>
      </c>
      <c r="B834">
        <v>0.1411302504426496</v>
      </c>
      <c r="C834">
        <f t="shared" si="48"/>
        <v>48.118620733306273</v>
      </c>
      <c r="D834" s="1">
        <f t="shared" si="49"/>
        <v>48</v>
      </c>
      <c r="E834" s="1">
        <f t="shared" si="50"/>
        <v>27</v>
      </c>
      <c r="F834" s="1">
        <f t="shared" si="51"/>
        <v>310.92</v>
      </c>
    </row>
    <row r="835" spans="1:6" x14ac:dyDescent="0.25">
      <c r="A835" s="1">
        <v>834</v>
      </c>
      <c r="B835">
        <v>0.76077390880033069</v>
      </c>
      <c r="C835">
        <f t="shared" ref="C835:C898" si="52">_xlfn.NORM.INV(B835,75,25)</f>
        <v>92.719855610287013</v>
      </c>
      <c r="D835" s="1">
        <f t="shared" ref="D835:D898" si="53">MIN(ROUND(C835,0),$H$2)</f>
        <v>75</v>
      </c>
      <c r="E835" s="1">
        <f t="shared" ref="E835:E898" si="54">$H$2-D835</f>
        <v>0</v>
      </c>
      <c r="F835" s="1">
        <f t="shared" ref="F835:F898" si="55">7*D835-$H$2/25*8-E835/25*1</f>
        <v>501</v>
      </c>
    </row>
    <row r="836" spans="1:6" x14ac:dyDescent="0.25">
      <c r="A836" s="1">
        <v>835</v>
      </c>
      <c r="B836">
        <v>0.81795392368910058</v>
      </c>
      <c r="C836">
        <f t="shared" si="52"/>
        <v>97.689878989599578</v>
      </c>
      <c r="D836" s="1">
        <f t="shared" si="53"/>
        <v>75</v>
      </c>
      <c r="E836" s="1">
        <f t="shared" si="54"/>
        <v>0</v>
      </c>
      <c r="F836" s="1">
        <f t="shared" si="55"/>
        <v>501</v>
      </c>
    </row>
    <row r="837" spans="1:6" x14ac:dyDescent="0.25">
      <c r="A837" s="1">
        <v>836</v>
      </c>
      <c r="B837">
        <v>0.28210825739154466</v>
      </c>
      <c r="C837">
        <f t="shared" si="52"/>
        <v>60.585252171493082</v>
      </c>
      <c r="D837" s="1">
        <f t="shared" si="53"/>
        <v>61</v>
      </c>
      <c r="E837" s="1">
        <f t="shared" si="54"/>
        <v>14</v>
      </c>
      <c r="F837" s="1">
        <f t="shared" si="55"/>
        <v>402.44</v>
      </c>
    </row>
    <row r="838" spans="1:6" x14ac:dyDescent="0.25">
      <c r="A838" s="1">
        <v>837</v>
      </c>
      <c r="B838">
        <v>0.9303372964550255</v>
      </c>
      <c r="C838">
        <f t="shared" si="52"/>
        <v>111.95769535322611</v>
      </c>
      <c r="D838" s="1">
        <f t="shared" si="53"/>
        <v>75</v>
      </c>
      <c r="E838" s="1">
        <f t="shared" si="54"/>
        <v>0</v>
      </c>
      <c r="F838" s="1">
        <f t="shared" si="55"/>
        <v>501</v>
      </c>
    </row>
    <row r="839" spans="1:6" x14ac:dyDescent="0.25">
      <c r="A839" s="1">
        <v>838</v>
      </c>
      <c r="B839">
        <v>0.29753496244171573</v>
      </c>
      <c r="C839">
        <f t="shared" si="52"/>
        <v>61.712412800123687</v>
      </c>
      <c r="D839" s="1">
        <f t="shared" si="53"/>
        <v>62</v>
      </c>
      <c r="E839" s="1">
        <f t="shared" si="54"/>
        <v>13</v>
      </c>
      <c r="F839" s="1">
        <f t="shared" si="55"/>
        <v>409.48</v>
      </c>
    </row>
    <row r="840" spans="1:6" x14ac:dyDescent="0.25">
      <c r="A840" s="1">
        <v>839</v>
      </c>
      <c r="B840">
        <v>0.95890281070752537</v>
      </c>
      <c r="C840">
        <f t="shared" si="52"/>
        <v>118.45233203145506</v>
      </c>
      <c r="D840" s="1">
        <f t="shared" si="53"/>
        <v>75</v>
      </c>
      <c r="E840" s="1">
        <f t="shared" si="54"/>
        <v>0</v>
      </c>
      <c r="F840" s="1">
        <f t="shared" si="55"/>
        <v>501</v>
      </c>
    </row>
    <row r="841" spans="1:6" x14ac:dyDescent="0.25">
      <c r="A841" s="1">
        <v>840</v>
      </c>
      <c r="B841">
        <v>0.67528193445061335</v>
      </c>
      <c r="C841">
        <f t="shared" si="52"/>
        <v>86.363641666363264</v>
      </c>
      <c r="D841" s="1">
        <f t="shared" si="53"/>
        <v>75</v>
      </c>
      <c r="E841" s="1">
        <f t="shared" si="54"/>
        <v>0</v>
      </c>
      <c r="F841" s="1">
        <f t="shared" si="55"/>
        <v>501</v>
      </c>
    </row>
    <row r="842" spans="1:6" x14ac:dyDescent="0.25">
      <c r="A842" s="1">
        <v>841</v>
      </c>
      <c r="B842">
        <v>2.549340566711189E-2</v>
      </c>
      <c r="C842">
        <f t="shared" si="52"/>
        <v>26.210231040743167</v>
      </c>
      <c r="D842" s="1">
        <f t="shared" si="53"/>
        <v>26</v>
      </c>
      <c r="E842" s="1">
        <f t="shared" si="54"/>
        <v>49</v>
      </c>
      <c r="F842" s="1">
        <f t="shared" si="55"/>
        <v>156.04</v>
      </c>
    </row>
    <row r="843" spans="1:6" x14ac:dyDescent="0.25">
      <c r="A843" s="1">
        <v>842</v>
      </c>
      <c r="B843">
        <v>0.43700564394343855</v>
      </c>
      <c r="C843">
        <f t="shared" si="52"/>
        <v>71.035864912638957</v>
      </c>
      <c r="D843" s="1">
        <f t="shared" si="53"/>
        <v>71</v>
      </c>
      <c r="E843" s="1">
        <f t="shared" si="54"/>
        <v>4</v>
      </c>
      <c r="F843" s="1">
        <f t="shared" si="55"/>
        <v>472.84</v>
      </c>
    </row>
    <row r="844" spans="1:6" x14ac:dyDescent="0.25">
      <c r="A844" s="1">
        <v>843</v>
      </c>
      <c r="B844">
        <v>1.8827907750743833E-2</v>
      </c>
      <c r="C844">
        <f t="shared" si="52"/>
        <v>23.035457791142356</v>
      </c>
      <c r="D844" s="1">
        <f t="shared" si="53"/>
        <v>23</v>
      </c>
      <c r="E844" s="1">
        <f t="shared" si="54"/>
        <v>52</v>
      </c>
      <c r="F844" s="1">
        <f t="shared" si="55"/>
        <v>134.91999999999999</v>
      </c>
    </row>
    <row r="845" spans="1:6" x14ac:dyDescent="0.25">
      <c r="A845" s="1">
        <v>844</v>
      </c>
      <c r="B845">
        <v>4.3583291903925292E-2</v>
      </c>
      <c r="C845">
        <f t="shared" si="52"/>
        <v>32.236570437800587</v>
      </c>
      <c r="D845" s="1">
        <f t="shared" si="53"/>
        <v>32</v>
      </c>
      <c r="E845" s="1">
        <f t="shared" si="54"/>
        <v>43</v>
      </c>
      <c r="F845" s="1">
        <f t="shared" si="55"/>
        <v>198.28</v>
      </c>
    </row>
    <row r="846" spans="1:6" x14ac:dyDescent="0.25">
      <c r="A846" s="1">
        <v>845</v>
      </c>
      <c r="B846">
        <v>0.34554377429730176</v>
      </c>
      <c r="C846">
        <f t="shared" si="52"/>
        <v>65.065509729786271</v>
      </c>
      <c r="D846" s="1">
        <f t="shared" si="53"/>
        <v>65</v>
      </c>
      <c r="E846" s="1">
        <f t="shared" si="54"/>
        <v>10</v>
      </c>
      <c r="F846" s="1">
        <f t="shared" si="55"/>
        <v>430.6</v>
      </c>
    </row>
    <row r="847" spans="1:6" x14ac:dyDescent="0.25">
      <c r="A847" s="1">
        <v>846</v>
      </c>
      <c r="B847">
        <v>0.64375559690741013</v>
      </c>
      <c r="C847">
        <f t="shared" si="52"/>
        <v>84.212890303232356</v>
      </c>
      <c r="D847" s="1">
        <f t="shared" si="53"/>
        <v>75</v>
      </c>
      <c r="E847" s="1">
        <f t="shared" si="54"/>
        <v>0</v>
      </c>
      <c r="F847" s="1">
        <f t="shared" si="55"/>
        <v>501</v>
      </c>
    </row>
    <row r="848" spans="1:6" x14ac:dyDescent="0.25">
      <c r="A848" s="1">
        <v>847</v>
      </c>
      <c r="B848">
        <v>0.57664300210487351</v>
      </c>
      <c r="C848">
        <f t="shared" si="52"/>
        <v>79.83282021258114</v>
      </c>
      <c r="D848" s="1">
        <f t="shared" si="53"/>
        <v>75</v>
      </c>
      <c r="E848" s="1">
        <f t="shared" si="54"/>
        <v>0</v>
      </c>
      <c r="F848" s="1">
        <f t="shared" si="55"/>
        <v>501</v>
      </c>
    </row>
    <row r="849" spans="1:6" x14ac:dyDescent="0.25">
      <c r="A849" s="1">
        <v>848</v>
      </c>
      <c r="B849">
        <v>3.7719746462002046E-2</v>
      </c>
      <c r="C849">
        <f t="shared" si="52"/>
        <v>30.555423679880448</v>
      </c>
      <c r="D849" s="1">
        <f t="shared" si="53"/>
        <v>31</v>
      </c>
      <c r="E849" s="1">
        <f t="shared" si="54"/>
        <v>44</v>
      </c>
      <c r="F849" s="1">
        <f t="shared" si="55"/>
        <v>191.24</v>
      </c>
    </row>
    <row r="850" spans="1:6" x14ac:dyDescent="0.25">
      <c r="A850" s="1">
        <v>849</v>
      </c>
      <c r="B850">
        <v>0.82572616146522715</v>
      </c>
      <c r="C850">
        <f t="shared" si="52"/>
        <v>98.435251067064584</v>
      </c>
      <c r="D850" s="1">
        <f t="shared" si="53"/>
        <v>75</v>
      </c>
      <c r="E850" s="1">
        <f t="shared" si="54"/>
        <v>0</v>
      </c>
      <c r="F850" s="1">
        <f t="shared" si="55"/>
        <v>501</v>
      </c>
    </row>
    <row r="851" spans="1:6" x14ac:dyDescent="0.25">
      <c r="A851" s="1">
        <v>850</v>
      </c>
      <c r="B851">
        <v>0.99008402889755931</v>
      </c>
      <c r="C851">
        <f t="shared" si="52"/>
        <v>133.23780747983204</v>
      </c>
      <c r="D851" s="1">
        <f t="shared" si="53"/>
        <v>75</v>
      </c>
      <c r="E851" s="1">
        <f t="shared" si="54"/>
        <v>0</v>
      </c>
      <c r="F851" s="1">
        <f t="shared" si="55"/>
        <v>501</v>
      </c>
    </row>
    <row r="852" spans="1:6" x14ac:dyDescent="0.25">
      <c r="A852" s="1">
        <v>851</v>
      </c>
      <c r="B852">
        <v>0.36206565869580054</v>
      </c>
      <c r="C852">
        <f t="shared" si="52"/>
        <v>66.176429805621169</v>
      </c>
      <c r="D852" s="1">
        <f t="shared" si="53"/>
        <v>66</v>
      </c>
      <c r="E852" s="1">
        <f t="shared" si="54"/>
        <v>9</v>
      </c>
      <c r="F852" s="1">
        <f t="shared" si="55"/>
        <v>437.64</v>
      </c>
    </row>
    <row r="853" spans="1:6" x14ac:dyDescent="0.25">
      <c r="A853" s="1">
        <v>852</v>
      </c>
      <c r="B853">
        <v>2.3975147046087608E-2</v>
      </c>
      <c r="C853">
        <f t="shared" si="52"/>
        <v>25.554783038620627</v>
      </c>
      <c r="D853" s="1">
        <f t="shared" si="53"/>
        <v>26</v>
      </c>
      <c r="E853" s="1">
        <f t="shared" si="54"/>
        <v>49</v>
      </c>
      <c r="F853" s="1">
        <f t="shared" si="55"/>
        <v>156.04</v>
      </c>
    </row>
    <row r="854" spans="1:6" x14ac:dyDescent="0.25">
      <c r="A854" s="1">
        <v>853</v>
      </c>
      <c r="B854">
        <v>0.39055354790773766</v>
      </c>
      <c r="C854">
        <f t="shared" si="52"/>
        <v>68.053085278839319</v>
      </c>
      <c r="D854" s="1">
        <f t="shared" si="53"/>
        <v>68</v>
      </c>
      <c r="E854" s="1">
        <f t="shared" si="54"/>
        <v>7</v>
      </c>
      <c r="F854" s="1">
        <f t="shared" si="55"/>
        <v>451.72</v>
      </c>
    </row>
    <row r="855" spans="1:6" x14ac:dyDescent="0.25">
      <c r="A855" s="1">
        <v>854</v>
      </c>
      <c r="B855">
        <v>0.12004635612882586</v>
      </c>
      <c r="C855">
        <f t="shared" si="52"/>
        <v>45.631122753245876</v>
      </c>
      <c r="D855" s="1">
        <f t="shared" si="53"/>
        <v>46</v>
      </c>
      <c r="E855" s="1">
        <f t="shared" si="54"/>
        <v>29</v>
      </c>
      <c r="F855" s="1">
        <f t="shared" si="55"/>
        <v>296.83999999999997</v>
      </c>
    </row>
    <row r="856" spans="1:6" x14ac:dyDescent="0.25">
      <c r="A856" s="1">
        <v>855</v>
      </c>
      <c r="B856">
        <v>0.25493307949589383</v>
      </c>
      <c r="C856">
        <f t="shared" si="52"/>
        <v>58.523847229095637</v>
      </c>
      <c r="D856" s="1">
        <f t="shared" si="53"/>
        <v>59</v>
      </c>
      <c r="E856" s="1">
        <f t="shared" si="54"/>
        <v>16</v>
      </c>
      <c r="F856" s="1">
        <f t="shared" si="55"/>
        <v>388.36</v>
      </c>
    </row>
    <row r="857" spans="1:6" x14ac:dyDescent="0.25">
      <c r="A857" s="1">
        <v>856</v>
      </c>
      <c r="B857">
        <v>0.42062824751124428</v>
      </c>
      <c r="C857">
        <f t="shared" si="52"/>
        <v>69.992836698950327</v>
      </c>
      <c r="D857" s="1">
        <f t="shared" si="53"/>
        <v>70</v>
      </c>
      <c r="E857" s="1">
        <f t="shared" si="54"/>
        <v>5</v>
      </c>
      <c r="F857" s="1">
        <f t="shared" si="55"/>
        <v>465.8</v>
      </c>
    </row>
    <row r="858" spans="1:6" x14ac:dyDescent="0.25">
      <c r="A858" s="1">
        <v>857</v>
      </c>
      <c r="B858">
        <v>0.88769265588515278</v>
      </c>
      <c r="C858">
        <f t="shared" si="52"/>
        <v>105.35871147078046</v>
      </c>
      <c r="D858" s="1">
        <f t="shared" si="53"/>
        <v>75</v>
      </c>
      <c r="E858" s="1">
        <f t="shared" si="54"/>
        <v>0</v>
      </c>
      <c r="F858" s="1">
        <f t="shared" si="55"/>
        <v>501</v>
      </c>
    </row>
    <row r="859" spans="1:6" x14ac:dyDescent="0.25">
      <c r="A859" s="1">
        <v>858</v>
      </c>
      <c r="B859">
        <v>0.19927769902294956</v>
      </c>
      <c r="C859">
        <f t="shared" si="52"/>
        <v>53.894899029806965</v>
      </c>
      <c r="D859" s="1">
        <f t="shared" si="53"/>
        <v>54</v>
      </c>
      <c r="E859" s="1">
        <f t="shared" si="54"/>
        <v>21</v>
      </c>
      <c r="F859" s="1">
        <f t="shared" si="55"/>
        <v>353.16</v>
      </c>
    </row>
    <row r="860" spans="1:6" x14ac:dyDescent="0.25">
      <c r="A860" s="1">
        <v>859</v>
      </c>
      <c r="B860">
        <v>0.52209638029308036</v>
      </c>
      <c r="C860">
        <f t="shared" si="52"/>
        <v>76.385394033017974</v>
      </c>
      <c r="D860" s="1">
        <f t="shared" si="53"/>
        <v>75</v>
      </c>
      <c r="E860" s="1">
        <f t="shared" si="54"/>
        <v>0</v>
      </c>
      <c r="F860" s="1">
        <f t="shared" si="55"/>
        <v>501</v>
      </c>
    </row>
    <row r="861" spans="1:6" x14ac:dyDescent="0.25">
      <c r="A861" s="1">
        <v>860</v>
      </c>
      <c r="B861">
        <v>0.68460843006780503</v>
      </c>
      <c r="C861">
        <f t="shared" si="52"/>
        <v>87.015621630521764</v>
      </c>
      <c r="D861" s="1">
        <f t="shared" si="53"/>
        <v>75</v>
      </c>
      <c r="E861" s="1">
        <f t="shared" si="54"/>
        <v>0</v>
      </c>
      <c r="F861" s="1">
        <f t="shared" si="55"/>
        <v>501</v>
      </c>
    </row>
    <row r="862" spans="1:6" x14ac:dyDescent="0.25">
      <c r="A862" s="1">
        <v>861</v>
      </c>
      <c r="B862">
        <v>0.64355232281266261</v>
      </c>
      <c r="C862">
        <f t="shared" si="52"/>
        <v>84.199258359775939</v>
      </c>
      <c r="D862" s="1">
        <f t="shared" si="53"/>
        <v>75</v>
      </c>
      <c r="E862" s="1">
        <f t="shared" si="54"/>
        <v>0</v>
      </c>
      <c r="F862" s="1">
        <f t="shared" si="55"/>
        <v>501</v>
      </c>
    </row>
    <row r="863" spans="1:6" x14ac:dyDescent="0.25">
      <c r="A863" s="1">
        <v>862</v>
      </c>
      <c r="B863">
        <v>0.193852575645722</v>
      </c>
      <c r="C863">
        <f t="shared" si="52"/>
        <v>53.405335953995689</v>
      </c>
      <c r="D863" s="1">
        <f t="shared" si="53"/>
        <v>53</v>
      </c>
      <c r="E863" s="1">
        <f t="shared" si="54"/>
        <v>22</v>
      </c>
      <c r="F863" s="1">
        <f t="shared" si="55"/>
        <v>346.12</v>
      </c>
    </row>
    <row r="864" spans="1:6" x14ac:dyDescent="0.25">
      <c r="A864" s="1">
        <v>863</v>
      </c>
      <c r="B864">
        <v>0.36478030370890679</v>
      </c>
      <c r="C864">
        <f t="shared" si="52"/>
        <v>66.357247977073484</v>
      </c>
      <c r="D864" s="1">
        <f t="shared" si="53"/>
        <v>66</v>
      </c>
      <c r="E864" s="1">
        <f t="shared" si="54"/>
        <v>9</v>
      </c>
      <c r="F864" s="1">
        <f t="shared" si="55"/>
        <v>437.64</v>
      </c>
    </row>
    <row r="865" spans="1:6" x14ac:dyDescent="0.25">
      <c r="A865" s="1">
        <v>864</v>
      </c>
      <c r="B865">
        <v>0.38784168973196576</v>
      </c>
      <c r="C865">
        <f t="shared" si="52"/>
        <v>67.876280372453792</v>
      </c>
      <c r="D865" s="1">
        <f t="shared" si="53"/>
        <v>68</v>
      </c>
      <c r="E865" s="1">
        <f t="shared" si="54"/>
        <v>7</v>
      </c>
      <c r="F865" s="1">
        <f t="shared" si="55"/>
        <v>451.72</v>
      </c>
    </row>
    <row r="866" spans="1:6" x14ac:dyDescent="0.25">
      <c r="A866" s="1">
        <v>865</v>
      </c>
      <c r="B866">
        <v>0.95565463926577521</v>
      </c>
      <c r="C866">
        <f t="shared" si="52"/>
        <v>117.55862397445955</v>
      </c>
      <c r="D866" s="1">
        <f t="shared" si="53"/>
        <v>75</v>
      </c>
      <c r="E866" s="1">
        <f t="shared" si="54"/>
        <v>0</v>
      </c>
      <c r="F866" s="1">
        <f t="shared" si="55"/>
        <v>501</v>
      </c>
    </row>
    <row r="867" spans="1:6" x14ac:dyDescent="0.25">
      <c r="A867" s="1">
        <v>866</v>
      </c>
      <c r="B867">
        <v>0.27348401707489622</v>
      </c>
      <c r="C867">
        <f t="shared" si="52"/>
        <v>59.9422585860152</v>
      </c>
      <c r="D867" s="1">
        <f t="shared" si="53"/>
        <v>60</v>
      </c>
      <c r="E867" s="1">
        <f t="shared" si="54"/>
        <v>15</v>
      </c>
      <c r="F867" s="1">
        <f t="shared" si="55"/>
        <v>395.4</v>
      </c>
    </row>
    <row r="868" spans="1:6" x14ac:dyDescent="0.25">
      <c r="A868" s="1">
        <v>867</v>
      </c>
      <c r="B868">
        <v>0.73353322735006721</v>
      </c>
      <c r="C868">
        <f t="shared" si="52"/>
        <v>90.588354617753239</v>
      </c>
      <c r="D868" s="1">
        <f t="shared" si="53"/>
        <v>75</v>
      </c>
      <c r="E868" s="1">
        <f t="shared" si="54"/>
        <v>0</v>
      </c>
      <c r="F868" s="1">
        <f t="shared" si="55"/>
        <v>501</v>
      </c>
    </row>
    <row r="869" spans="1:6" x14ac:dyDescent="0.25">
      <c r="A869" s="1">
        <v>868</v>
      </c>
      <c r="B869">
        <v>0.70415871895167348</v>
      </c>
      <c r="C869">
        <f t="shared" si="52"/>
        <v>88.40998441740318</v>
      </c>
      <c r="D869" s="1">
        <f t="shared" si="53"/>
        <v>75</v>
      </c>
      <c r="E869" s="1">
        <f t="shared" si="54"/>
        <v>0</v>
      </c>
      <c r="F869" s="1">
        <f t="shared" si="55"/>
        <v>501</v>
      </c>
    </row>
    <row r="870" spans="1:6" x14ac:dyDescent="0.25">
      <c r="A870" s="1">
        <v>869</v>
      </c>
      <c r="B870">
        <v>0.13708060720265236</v>
      </c>
      <c r="C870">
        <f t="shared" si="52"/>
        <v>47.661752839359863</v>
      </c>
      <c r="D870" s="1">
        <f t="shared" si="53"/>
        <v>48</v>
      </c>
      <c r="E870" s="1">
        <f t="shared" si="54"/>
        <v>27</v>
      </c>
      <c r="F870" s="1">
        <f t="shared" si="55"/>
        <v>310.92</v>
      </c>
    </row>
    <row r="871" spans="1:6" x14ac:dyDescent="0.25">
      <c r="A871" s="1">
        <v>870</v>
      </c>
      <c r="B871">
        <v>0.51896921927487571</v>
      </c>
      <c r="C871">
        <f t="shared" si="52"/>
        <v>76.189167816027478</v>
      </c>
      <c r="D871" s="1">
        <f t="shared" si="53"/>
        <v>75</v>
      </c>
      <c r="E871" s="1">
        <f t="shared" si="54"/>
        <v>0</v>
      </c>
      <c r="F871" s="1">
        <f t="shared" si="55"/>
        <v>501</v>
      </c>
    </row>
    <row r="872" spans="1:6" x14ac:dyDescent="0.25">
      <c r="A872" s="1">
        <v>871</v>
      </c>
      <c r="B872">
        <v>0.1797665629484444</v>
      </c>
      <c r="C872">
        <f t="shared" si="52"/>
        <v>52.093623169229687</v>
      </c>
      <c r="D872" s="1">
        <f t="shared" si="53"/>
        <v>52</v>
      </c>
      <c r="E872" s="1">
        <f t="shared" si="54"/>
        <v>23</v>
      </c>
      <c r="F872" s="1">
        <f t="shared" si="55"/>
        <v>339.08</v>
      </c>
    </row>
    <row r="873" spans="1:6" x14ac:dyDescent="0.25">
      <c r="A873" s="1">
        <v>872</v>
      </c>
      <c r="B873">
        <v>0.61014653104128769</v>
      </c>
      <c r="C873">
        <f t="shared" si="52"/>
        <v>81.992524124601388</v>
      </c>
      <c r="D873" s="1">
        <f t="shared" si="53"/>
        <v>75</v>
      </c>
      <c r="E873" s="1">
        <f t="shared" si="54"/>
        <v>0</v>
      </c>
      <c r="F873" s="1">
        <f t="shared" si="55"/>
        <v>501</v>
      </c>
    </row>
    <row r="874" spans="1:6" x14ac:dyDescent="0.25">
      <c r="A874" s="1">
        <v>873</v>
      </c>
      <c r="B874">
        <v>0.23969553477236949</v>
      </c>
      <c r="C874">
        <f t="shared" si="52"/>
        <v>57.317942772510939</v>
      </c>
      <c r="D874" s="1">
        <f t="shared" si="53"/>
        <v>57</v>
      </c>
      <c r="E874" s="1">
        <f t="shared" si="54"/>
        <v>18</v>
      </c>
      <c r="F874" s="1">
        <f t="shared" si="55"/>
        <v>374.28</v>
      </c>
    </row>
    <row r="875" spans="1:6" x14ac:dyDescent="0.25">
      <c r="A875" s="1">
        <v>874</v>
      </c>
      <c r="B875">
        <v>0.75050086822233419</v>
      </c>
      <c r="C875">
        <f t="shared" si="52"/>
        <v>91.901668849470781</v>
      </c>
      <c r="D875" s="1">
        <f t="shared" si="53"/>
        <v>75</v>
      </c>
      <c r="E875" s="1">
        <f t="shared" si="54"/>
        <v>0</v>
      </c>
      <c r="F875" s="1">
        <f t="shared" si="55"/>
        <v>501</v>
      </c>
    </row>
    <row r="876" spans="1:6" x14ac:dyDescent="0.25">
      <c r="A876" s="1">
        <v>875</v>
      </c>
      <c r="B876">
        <v>0.93819602877009278</v>
      </c>
      <c r="C876">
        <f t="shared" si="52"/>
        <v>113.49511990836734</v>
      </c>
      <c r="D876" s="1">
        <f t="shared" si="53"/>
        <v>75</v>
      </c>
      <c r="E876" s="1">
        <f t="shared" si="54"/>
        <v>0</v>
      </c>
      <c r="F876" s="1">
        <f t="shared" si="55"/>
        <v>501</v>
      </c>
    </row>
    <row r="877" spans="1:6" x14ac:dyDescent="0.25">
      <c r="A877" s="1">
        <v>876</v>
      </c>
      <c r="B877">
        <v>0.19040970912562072</v>
      </c>
      <c r="C877">
        <f t="shared" si="52"/>
        <v>53.090312814209547</v>
      </c>
      <c r="D877" s="1">
        <f t="shared" si="53"/>
        <v>53</v>
      </c>
      <c r="E877" s="1">
        <f t="shared" si="54"/>
        <v>22</v>
      </c>
      <c r="F877" s="1">
        <f t="shared" si="55"/>
        <v>346.12</v>
      </c>
    </row>
    <row r="878" spans="1:6" x14ac:dyDescent="0.25">
      <c r="A878" s="1">
        <v>877</v>
      </c>
      <c r="B878">
        <v>0.99070403921335415</v>
      </c>
      <c r="C878">
        <f t="shared" si="52"/>
        <v>133.84034222244566</v>
      </c>
      <c r="D878" s="1">
        <f t="shared" si="53"/>
        <v>75</v>
      </c>
      <c r="E878" s="1">
        <f t="shared" si="54"/>
        <v>0</v>
      </c>
      <c r="F878" s="1">
        <f t="shared" si="55"/>
        <v>501</v>
      </c>
    </row>
    <row r="879" spans="1:6" x14ac:dyDescent="0.25">
      <c r="A879" s="1">
        <v>878</v>
      </c>
      <c r="B879">
        <v>0.98706060154716124</v>
      </c>
      <c r="C879">
        <f t="shared" si="52"/>
        <v>130.70064413247408</v>
      </c>
      <c r="D879" s="1">
        <f t="shared" si="53"/>
        <v>75</v>
      </c>
      <c r="E879" s="1">
        <f t="shared" si="54"/>
        <v>0</v>
      </c>
      <c r="F879" s="1">
        <f t="shared" si="55"/>
        <v>501</v>
      </c>
    </row>
    <row r="880" spans="1:6" x14ac:dyDescent="0.25">
      <c r="A880" s="1">
        <v>879</v>
      </c>
      <c r="B880">
        <v>0.53982914786288372</v>
      </c>
      <c r="C880">
        <f t="shared" si="52"/>
        <v>77.500082540474892</v>
      </c>
      <c r="D880" s="1">
        <f t="shared" si="53"/>
        <v>75</v>
      </c>
      <c r="E880" s="1">
        <f t="shared" si="54"/>
        <v>0</v>
      </c>
      <c r="F880" s="1">
        <f t="shared" si="55"/>
        <v>501</v>
      </c>
    </row>
    <row r="881" spans="1:6" x14ac:dyDescent="0.25">
      <c r="A881" s="1">
        <v>880</v>
      </c>
      <c r="B881">
        <v>0.55506266366480295</v>
      </c>
      <c r="C881">
        <f t="shared" si="52"/>
        <v>78.461569842171897</v>
      </c>
      <c r="D881" s="1">
        <f t="shared" si="53"/>
        <v>75</v>
      </c>
      <c r="E881" s="1">
        <f t="shared" si="54"/>
        <v>0</v>
      </c>
      <c r="F881" s="1">
        <f t="shared" si="55"/>
        <v>501</v>
      </c>
    </row>
    <row r="882" spans="1:6" x14ac:dyDescent="0.25">
      <c r="A882" s="1">
        <v>881</v>
      </c>
      <c r="B882">
        <v>0.46356591823190962</v>
      </c>
      <c r="C882">
        <f t="shared" si="52"/>
        <v>72.71364939527426</v>
      </c>
      <c r="D882" s="1">
        <f t="shared" si="53"/>
        <v>73</v>
      </c>
      <c r="E882" s="1">
        <f t="shared" si="54"/>
        <v>2</v>
      </c>
      <c r="F882" s="1">
        <f t="shared" si="55"/>
        <v>486.92</v>
      </c>
    </row>
    <row r="883" spans="1:6" x14ac:dyDescent="0.25">
      <c r="A883" s="1">
        <v>882</v>
      </c>
      <c r="B883">
        <v>0.56864005041348453</v>
      </c>
      <c r="C883">
        <f t="shared" si="52"/>
        <v>79.322822260958034</v>
      </c>
      <c r="D883" s="1">
        <f t="shared" si="53"/>
        <v>75</v>
      </c>
      <c r="E883" s="1">
        <f t="shared" si="54"/>
        <v>0</v>
      </c>
      <c r="F883" s="1">
        <f t="shared" si="55"/>
        <v>501</v>
      </c>
    </row>
    <row r="884" spans="1:6" x14ac:dyDescent="0.25">
      <c r="A884" s="1">
        <v>883</v>
      </c>
      <c r="B884">
        <v>0.28726978682541537</v>
      </c>
      <c r="C884">
        <f t="shared" si="52"/>
        <v>60.965538822874464</v>
      </c>
      <c r="D884" s="1">
        <f t="shared" si="53"/>
        <v>61</v>
      </c>
      <c r="E884" s="1">
        <f t="shared" si="54"/>
        <v>14</v>
      </c>
      <c r="F884" s="1">
        <f t="shared" si="55"/>
        <v>402.44</v>
      </c>
    </row>
    <row r="885" spans="1:6" x14ac:dyDescent="0.25">
      <c r="A885" s="1">
        <v>884</v>
      </c>
      <c r="B885">
        <v>0.46351973380366462</v>
      </c>
      <c r="C885">
        <f t="shared" si="52"/>
        <v>72.710743071406753</v>
      </c>
      <c r="D885" s="1">
        <f t="shared" si="53"/>
        <v>73</v>
      </c>
      <c r="E885" s="1">
        <f t="shared" si="54"/>
        <v>2</v>
      </c>
      <c r="F885" s="1">
        <f t="shared" si="55"/>
        <v>486.92</v>
      </c>
    </row>
    <row r="886" spans="1:6" x14ac:dyDescent="0.25">
      <c r="A886" s="1">
        <v>885</v>
      </c>
      <c r="B886">
        <v>7.1502743389326939E-2</v>
      </c>
      <c r="C886">
        <f t="shared" si="52"/>
        <v>38.382747463202044</v>
      </c>
      <c r="D886" s="1">
        <f t="shared" si="53"/>
        <v>38</v>
      </c>
      <c r="E886" s="1">
        <f t="shared" si="54"/>
        <v>37</v>
      </c>
      <c r="F886" s="1">
        <f t="shared" si="55"/>
        <v>240.52</v>
      </c>
    </row>
    <row r="887" spans="1:6" x14ac:dyDescent="0.25">
      <c r="A887" s="1">
        <v>886</v>
      </c>
      <c r="B887">
        <v>0.2730084241418077</v>
      </c>
      <c r="C887">
        <f t="shared" si="52"/>
        <v>59.906512500750388</v>
      </c>
      <c r="D887" s="1">
        <f t="shared" si="53"/>
        <v>60</v>
      </c>
      <c r="E887" s="1">
        <f t="shared" si="54"/>
        <v>15</v>
      </c>
      <c r="F887" s="1">
        <f t="shared" si="55"/>
        <v>395.4</v>
      </c>
    </row>
    <row r="888" spans="1:6" x14ac:dyDescent="0.25">
      <c r="A888" s="1">
        <v>887</v>
      </c>
      <c r="B888">
        <v>0.62099708296255107</v>
      </c>
      <c r="C888">
        <f t="shared" si="52"/>
        <v>82.702513377403307</v>
      </c>
      <c r="D888" s="1">
        <f t="shared" si="53"/>
        <v>75</v>
      </c>
      <c r="E888" s="1">
        <f t="shared" si="54"/>
        <v>0</v>
      </c>
      <c r="F888" s="1">
        <f t="shared" si="55"/>
        <v>501</v>
      </c>
    </row>
    <row r="889" spans="1:6" x14ac:dyDescent="0.25">
      <c r="A889" s="1">
        <v>888</v>
      </c>
      <c r="B889">
        <v>4.9839607858005897E-2</v>
      </c>
      <c r="C889">
        <f t="shared" si="52"/>
        <v>33.839730567226724</v>
      </c>
      <c r="D889" s="1">
        <f t="shared" si="53"/>
        <v>34</v>
      </c>
      <c r="E889" s="1">
        <f t="shared" si="54"/>
        <v>41</v>
      </c>
      <c r="F889" s="1">
        <f t="shared" si="55"/>
        <v>212.36</v>
      </c>
    </row>
    <row r="890" spans="1:6" x14ac:dyDescent="0.25">
      <c r="A890" s="1">
        <v>889</v>
      </c>
      <c r="B890">
        <v>0.28470694417732678</v>
      </c>
      <c r="C890">
        <f t="shared" si="52"/>
        <v>60.777127322243686</v>
      </c>
      <c r="D890" s="1">
        <f t="shared" si="53"/>
        <v>61</v>
      </c>
      <c r="E890" s="1">
        <f t="shared" si="54"/>
        <v>14</v>
      </c>
      <c r="F890" s="1">
        <f t="shared" si="55"/>
        <v>402.44</v>
      </c>
    </row>
    <row r="891" spans="1:6" x14ac:dyDescent="0.25">
      <c r="A891" s="1">
        <v>890</v>
      </c>
      <c r="B891">
        <v>0.19491301397230043</v>
      </c>
      <c r="C891">
        <f t="shared" si="52"/>
        <v>53.501677336967305</v>
      </c>
      <c r="D891" s="1">
        <f t="shared" si="53"/>
        <v>54</v>
      </c>
      <c r="E891" s="1">
        <f t="shared" si="54"/>
        <v>21</v>
      </c>
      <c r="F891" s="1">
        <f t="shared" si="55"/>
        <v>353.16</v>
      </c>
    </row>
    <row r="892" spans="1:6" x14ac:dyDescent="0.25">
      <c r="A892" s="1">
        <v>891</v>
      </c>
      <c r="B892">
        <v>0.23683834374755597</v>
      </c>
      <c r="C892">
        <f t="shared" si="52"/>
        <v>57.087257796362508</v>
      </c>
      <c r="D892" s="1">
        <f t="shared" si="53"/>
        <v>57</v>
      </c>
      <c r="E892" s="1">
        <f t="shared" si="54"/>
        <v>18</v>
      </c>
      <c r="F892" s="1">
        <f t="shared" si="55"/>
        <v>374.28</v>
      </c>
    </row>
    <row r="893" spans="1:6" x14ac:dyDescent="0.25">
      <c r="A893" s="1">
        <v>892</v>
      </c>
      <c r="B893">
        <v>0.13912545263516396</v>
      </c>
      <c r="C893">
        <f t="shared" si="52"/>
        <v>47.893577268042094</v>
      </c>
      <c r="D893" s="1">
        <f t="shared" si="53"/>
        <v>48</v>
      </c>
      <c r="E893" s="1">
        <f t="shared" si="54"/>
        <v>27</v>
      </c>
      <c r="F893" s="1">
        <f t="shared" si="55"/>
        <v>310.92</v>
      </c>
    </row>
    <row r="894" spans="1:6" x14ac:dyDescent="0.25">
      <c r="A894" s="1">
        <v>893</v>
      </c>
      <c r="B894">
        <v>0.52714624470152815</v>
      </c>
      <c r="C894">
        <f t="shared" si="52"/>
        <v>76.702453512237156</v>
      </c>
      <c r="D894" s="1">
        <f t="shared" si="53"/>
        <v>75</v>
      </c>
      <c r="E894" s="1">
        <f t="shared" si="54"/>
        <v>0</v>
      </c>
      <c r="F894" s="1">
        <f t="shared" si="55"/>
        <v>501</v>
      </c>
    </row>
    <row r="895" spans="1:6" x14ac:dyDescent="0.25">
      <c r="A895" s="1">
        <v>894</v>
      </c>
      <c r="B895">
        <v>0.40358174225802845</v>
      </c>
      <c r="C895">
        <f t="shared" si="52"/>
        <v>68.897826417690965</v>
      </c>
      <c r="D895" s="1">
        <f t="shared" si="53"/>
        <v>69</v>
      </c>
      <c r="E895" s="1">
        <f t="shared" si="54"/>
        <v>6</v>
      </c>
      <c r="F895" s="1">
        <f t="shared" si="55"/>
        <v>458.76</v>
      </c>
    </row>
    <row r="896" spans="1:6" x14ac:dyDescent="0.25">
      <c r="A896" s="1">
        <v>895</v>
      </c>
      <c r="B896">
        <v>0.40952027559588056</v>
      </c>
      <c r="C896">
        <f t="shared" si="52"/>
        <v>69.280520550796936</v>
      </c>
      <c r="D896" s="1">
        <f t="shared" si="53"/>
        <v>69</v>
      </c>
      <c r="E896" s="1">
        <f t="shared" si="54"/>
        <v>6</v>
      </c>
      <c r="F896" s="1">
        <f t="shared" si="55"/>
        <v>458.76</v>
      </c>
    </row>
    <row r="897" spans="1:6" x14ac:dyDescent="0.25">
      <c r="A897" s="1">
        <v>896</v>
      </c>
      <c r="B897">
        <v>0.54321396983038761</v>
      </c>
      <c r="C897">
        <f t="shared" si="52"/>
        <v>77.713351618795201</v>
      </c>
      <c r="D897" s="1">
        <f t="shared" si="53"/>
        <v>75</v>
      </c>
      <c r="E897" s="1">
        <f t="shared" si="54"/>
        <v>0</v>
      </c>
      <c r="F897" s="1">
        <f t="shared" si="55"/>
        <v>501</v>
      </c>
    </row>
    <row r="898" spans="1:6" x14ac:dyDescent="0.25">
      <c r="A898" s="1">
        <v>897</v>
      </c>
      <c r="B898">
        <v>0.27429909887705284</v>
      </c>
      <c r="C898">
        <f t="shared" si="52"/>
        <v>60.003449567001709</v>
      </c>
      <c r="D898" s="1">
        <f t="shared" si="53"/>
        <v>60</v>
      </c>
      <c r="E898" s="1">
        <f t="shared" si="54"/>
        <v>15</v>
      </c>
      <c r="F898" s="1">
        <f t="shared" si="55"/>
        <v>395.4</v>
      </c>
    </row>
    <row r="899" spans="1:6" x14ac:dyDescent="0.25">
      <c r="A899" s="1">
        <v>898</v>
      </c>
      <c r="B899">
        <v>0.41168813176055397</v>
      </c>
      <c r="C899">
        <f t="shared" ref="C899:C962" si="56">_xlfn.NORM.INV(B899,75,25)</f>
        <v>69.419884728663547</v>
      </c>
      <c r="D899" s="1">
        <f t="shared" ref="D899:D962" si="57">MIN(ROUND(C899,0),$H$2)</f>
        <v>69</v>
      </c>
      <c r="E899" s="1">
        <f t="shared" ref="E899:E962" si="58">$H$2-D899</f>
        <v>6</v>
      </c>
      <c r="F899" s="1">
        <f t="shared" ref="F899:F962" si="59">7*D899-$H$2/25*8-E899/25*1</f>
        <v>458.76</v>
      </c>
    </row>
    <row r="900" spans="1:6" x14ac:dyDescent="0.25">
      <c r="A900" s="1">
        <v>899</v>
      </c>
      <c r="B900">
        <v>0.61752700764510005</v>
      </c>
      <c r="C900">
        <f t="shared" si="56"/>
        <v>82.474805402450798</v>
      </c>
      <c r="D900" s="1">
        <f t="shared" si="57"/>
        <v>75</v>
      </c>
      <c r="E900" s="1">
        <f t="shared" si="58"/>
        <v>0</v>
      </c>
      <c r="F900" s="1">
        <f t="shared" si="59"/>
        <v>501</v>
      </c>
    </row>
    <row r="901" spans="1:6" x14ac:dyDescent="0.25">
      <c r="A901" s="1">
        <v>900</v>
      </c>
      <c r="B901">
        <v>0.48751363709993156</v>
      </c>
      <c r="C901">
        <f t="shared" si="56"/>
        <v>74.217405447243763</v>
      </c>
      <c r="D901" s="1">
        <f t="shared" si="57"/>
        <v>74</v>
      </c>
      <c r="E901" s="1">
        <f t="shared" si="58"/>
        <v>1</v>
      </c>
      <c r="F901" s="1">
        <f t="shared" si="59"/>
        <v>493.96</v>
      </c>
    </row>
    <row r="902" spans="1:6" x14ac:dyDescent="0.25">
      <c r="A902" s="1">
        <v>901</v>
      </c>
      <c r="B902">
        <v>0.45675687798997266</v>
      </c>
      <c r="C902">
        <f t="shared" si="56"/>
        <v>72.284810740407124</v>
      </c>
      <c r="D902" s="1">
        <f t="shared" si="57"/>
        <v>72</v>
      </c>
      <c r="E902" s="1">
        <f t="shared" si="58"/>
        <v>3</v>
      </c>
      <c r="F902" s="1">
        <f t="shared" si="59"/>
        <v>479.88</v>
      </c>
    </row>
    <row r="903" spans="1:6" x14ac:dyDescent="0.25">
      <c r="A903" s="1">
        <v>902</v>
      </c>
      <c r="B903">
        <v>0.32727239631899341</v>
      </c>
      <c r="C903">
        <f t="shared" si="56"/>
        <v>63.813563375643398</v>
      </c>
      <c r="D903" s="1">
        <f t="shared" si="57"/>
        <v>64</v>
      </c>
      <c r="E903" s="1">
        <f t="shared" si="58"/>
        <v>11</v>
      </c>
      <c r="F903" s="1">
        <f t="shared" si="59"/>
        <v>423.56</v>
      </c>
    </row>
    <row r="904" spans="1:6" x14ac:dyDescent="0.25">
      <c r="A904" s="1">
        <v>903</v>
      </c>
      <c r="B904">
        <v>0.52511319165276149</v>
      </c>
      <c r="C904">
        <f t="shared" si="56"/>
        <v>76.574776706472193</v>
      </c>
      <c r="D904" s="1">
        <f t="shared" si="57"/>
        <v>75</v>
      </c>
      <c r="E904" s="1">
        <f t="shared" si="58"/>
        <v>0</v>
      </c>
      <c r="F904" s="1">
        <f t="shared" si="59"/>
        <v>501</v>
      </c>
    </row>
    <row r="905" spans="1:6" x14ac:dyDescent="0.25">
      <c r="A905" s="1">
        <v>904</v>
      </c>
      <c r="B905">
        <v>0.80161063710230263</v>
      </c>
      <c r="C905">
        <f t="shared" si="56"/>
        <v>96.184707408169089</v>
      </c>
      <c r="D905" s="1">
        <f t="shared" si="57"/>
        <v>75</v>
      </c>
      <c r="E905" s="1">
        <f t="shared" si="58"/>
        <v>0</v>
      </c>
      <c r="F905" s="1">
        <f t="shared" si="59"/>
        <v>501</v>
      </c>
    </row>
    <row r="906" spans="1:6" x14ac:dyDescent="0.25">
      <c r="A906" s="1">
        <v>905</v>
      </c>
      <c r="B906">
        <v>0.81753780458089931</v>
      </c>
      <c r="C906">
        <f t="shared" si="56"/>
        <v>97.65054136703445</v>
      </c>
      <c r="D906" s="1">
        <f t="shared" si="57"/>
        <v>75</v>
      </c>
      <c r="E906" s="1">
        <f t="shared" si="58"/>
        <v>0</v>
      </c>
      <c r="F906" s="1">
        <f t="shared" si="59"/>
        <v>501</v>
      </c>
    </row>
    <row r="907" spans="1:6" x14ac:dyDescent="0.25">
      <c r="A907" s="1">
        <v>906</v>
      </c>
      <c r="B907">
        <v>0.79411501396150108</v>
      </c>
      <c r="C907">
        <f t="shared" si="56"/>
        <v>95.519571115076999</v>
      </c>
      <c r="D907" s="1">
        <f t="shared" si="57"/>
        <v>75</v>
      </c>
      <c r="E907" s="1">
        <f t="shared" si="58"/>
        <v>0</v>
      </c>
      <c r="F907" s="1">
        <f t="shared" si="59"/>
        <v>501</v>
      </c>
    </row>
    <row r="908" spans="1:6" x14ac:dyDescent="0.25">
      <c r="A908" s="1">
        <v>907</v>
      </c>
      <c r="B908">
        <v>0.53286148186476401</v>
      </c>
      <c r="C908">
        <f t="shared" si="56"/>
        <v>77.061622270770343</v>
      </c>
      <c r="D908" s="1">
        <f t="shared" si="57"/>
        <v>75</v>
      </c>
      <c r="E908" s="1">
        <f t="shared" si="58"/>
        <v>0</v>
      </c>
      <c r="F908" s="1">
        <f t="shared" si="59"/>
        <v>501</v>
      </c>
    </row>
    <row r="909" spans="1:6" x14ac:dyDescent="0.25">
      <c r="A909" s="1">
        <v>908</v>
      </c>
      <c r="B909">
        <v>7.5626175723325861E-2</v>
      </c>
      <c r="C909">
        <f t="shared" si="56"/>
        <v>39.121951405390057</v>
      </c>
      <c r="D909" s="1">
        <f t="shared" si="57"/>
        <v>39</v>
      </c>
      <c r="E909" s="1">
        <f t="shared" si="58"/>
        <v>36</v>
      </c>
      <c r="F909" s="1">
        <f t="shared" si="59"/>
        <v>247.56</v>
      </c>
    </row>
    <row r="910" spans="1:6" x14ac:dyDescent="0.25">
      <c r="A910" s="1">
        <v>909</v>
      </c>
      <c r="B910">
        <v>0.44566801785223065</v>
      </c>
      <c r="C910">
        <f t="shared" si="56"/>
        <v>71.584653980007985</v>
      </c>
      <c r="D910" s="1">
        <f t="shared" si="57"/>
        <v>72</v>
      </c>
      <c r="E910" s="1">
        <f t="shared" si="58"/>
        <v>3</v>
      </c>
      <c r="F910" s="1">
        <f t="shared" si="59"/>
        <v>479.88</v>
      </c>
    </row>
    <row r="911" spans="1:6" x14ac:dyDescent="0.25">
      <c r="A911" s="1">
        <v>910</v>
      </c>
      <c r="B911">
        <v>0.71839061533681525</v>
      </c>
      <c r="C911">
        <f t="shared" si="56"/>
        <v>89.451679307354013</v>
      </c>
      <c r="D911" s="1">
        <f t="shared" si="57"/>
        <v>75</v>
      </c>
      <c r="E911" s="1">
        <f t="shared" si="58"/>
        <v>0</v>
      </c>
      <c r="F911" s="1">
        <f t="shared" si="59"/>
        <v>501</v>
      </c>
    </row>
    <row r="912" spans="1:6" x14ac:dyDescent="0.25">
      <c r="A912" s="1">
        <v>911</v>
      </c>
      <c r="B912">
        <v>0.18929461193368924</v>
      </c>
      <c r="C912">
        <f t="shared" si="56"/>
        <v>52.987533181281677</v>
      </c>
      <c r="D912" s="1">
        <f t="shared" si="57"/>
        <v>53</v>
      </c>
      <c r="E912" s="1">
        <f t="shared" si="58"/>
        <v>22</v>
      </c>
      <c r="F912" s="1">
        <f t="shared" si="59"/>
        <v>346.12</v>
      </c>
    </row>
    <row r="913" spans="1:6" x14ac:dyDescent="0.25">
      <c r="A913" s="1">
        <v>912</v>
      </c>
      <c r="B913">
        <v>0.25279449184245717</v>
      </c>
      <c r="C913">
        <f t="shared" si="56"/>
        <v>58.356956836662029</v>
      </c>
      <c r="D913" s="1">
        <f t="shared" si="57"/>
        <v>58</v>
      </c>
      <c r="E913" s="1">
        <f t="shared" si="58"/>
        <v>17</v>
      </c>
      <c r="F913" s="1">
        <f t="shared" si="59"/>
        <v>381.32</v>
      </c>
    </row>
    <row r="914" spans="1:6" x14ac:dyDescent="0.25">
      <c r="A914" s="1">
        <v>913</v>
      </c>
      <c r="B914">
        <v>0.55247097961262837</v>
      </c>
      <c r="C914">
        <f t="shared" si="56"/>
        <v>78.297669027567096</v>
      </c>
      <c r="D914" s="1">
        <f t="shared" si="57"/>
        <v>75</v>
      </c>
      <c r="E914" s="1">
        <f t="shared" si="58"/>
        <v>0</v>
      </c>
      <c r="F914" s="1">
        <f t="shared" si="59"/>
        <v>501</v>
      </c>
    </row>
    <row r="915" spans="1:6" x14ac:dyDescent="0.25">
      <c r="A915" s="1">
        <v>914</v>
      </c>
      <c r="B915">
        <v>0.66976203447566485</v>
      </c>
      <c r="C915">
        <f t="shared" si="56"/>
        <v>85.981404179999913</v>
      </c>
      <c r="D915" s="1">
        <f t="shared" si="57"/>
        <v>75</v>
      </c>
      <c r="E915" s="1">
        <f t="shared" si="58"/>
        <v>0</v>
      </c>
      <c r="F915" s="1">
        <f t="shared" si="59"/>
        <v>501</v>
      </c>
    </row>
    <row r="916" spans="1:6" x14ac:dyDescent="0.25">
      <c r="A916" s="1">
        <v>915</v>
      </c>
      <c r="B916">
        <v>0.50243602801104958</v>
      </c>
      <c r="C916">
        <f t="shared" si="56"/>
        <v>75.15265636591829</v>
      </c>
      <c r="D916" s="1">
        <f t="shared" si="57"/>
        <v>75</v>
      </c>
      <c r="E916" s="1">
        <f t="shared" si="58"/>
        <v>0</v>
      </c>
      <c r="F916" s="1">
        <f t="shared" si="59"/>
        <v>501</v>
      </c>
    </row>
    <row r="917" spans="1:6" x14ac:dyDescent="0.25">
      <c r="A917" s="1">
        <v>916</v>
      </c>
      <c r="B917">
        <v>0.598849779590927</v>
      </c>
      <c r="C917">
        <f t="shared" si="56"/>
        <v>81.259275432738605</v>
      </c>
      <c r="D917" s="1">
        <f t="shared" si="57"/>
        <v>75</v>
      </c>
      <c r="E917" s="1">
        <f t="shared" si="58"/>
        <v>0</v>
      </c>
      <c r="F917" s="1">
        <f t="shared" si="59"/>
        <v>501</v>
      </c>
    </row>
    <row r="918" spans="1:6" x14ac:dyDescent="0.25">
      <c r="A918" s="1">
        <v>917</v>
      </c>
      <c r="B918">
        <v>0.15619971016389067</v>
      </c>
      <c r="C918">
        <f t="shared" si="56"/>
        <v>49.744996923130188</v>
      </c>
      <c r="D918" s="1">
        <f t="shared" si="57"/>
        <v>50</v>
      </c>
      <c r="E918" s="1">
        <f t="shared" si="58"/>
        <v>25</v>
      </c>
      <c r="F918" s="1">
        <f t="shared" si="59"/>
        <v>325</v>
      </c>
    </row>
    <row r="919" spans="1:6" x14ac:dyDescent="0.25">
      <c r="A919" s="1">
        <v>918</v>
      </c>
      <c r="B919">
        <v>0.85782762369392562</v>
      </c>
      <c r="C919">
        <f t="shared" si="56"/>
        <v>101.76525403395641</v>
      </c>
      <c r="D919" s="1">
        <f t="shared" si="57"/>
        <v>75</v>
      </c>
      <c r="E919" s="1">
        <f t="shared" si="58"/>
        <v>0</v>
      </c>
      <c r="F919" s="1">
        <f t="shared" si="59"/>
        <v>501</v>
      </c>
    </row>
    <row r="920" spans="1:6" x14ac:dyDescent="0.25">
      <c r="A920" s="1">
        <v>919</v>
      </c>
      <c r="B920">
        <v>0.6023865316078475</v>
      </c>
      <c r="C920">
        <f t="shared" si="56"/>
        <v>81.488230599087458</v>
      </c>
      <c r="D920" s="1">
        <f t="shared" si="57"/>
        <v>75</v>
      </c>
      <c r="E920" s="1">
        <f t="shared" si="58"/>
        <v>0</v>
      </c>
      <c r="F920" s="1">
        <f t="shared" si="59"/>
        <v>501</v>
      </c>
    </row>
    <row r="921" spans="1:6" x14ac:dyDescent="0.25">
      <c r="A921" s="1">
        <v>920</v>
      </c>
      <c r="B921">
        <v>0.77711860890148299</v>
      </c>
      <c r="C921">
        <f t="shared" si="56"/>
        <v>94.062452269763497</v>
      </c>
      <c r="D921" s="1">
        <f t="shared" si="57"/>
        <v>75</v>
      </c>
      <c r="E921" s="1">
        <f t="shared" si="58"/>
        <v>0</v>
      </c>
      <c r="F921" s="1">
        <f t="shared" si="59"/>
        <v>501</v>
      </c>
    </row>
    <row r="922" spans="1:6" x14ac:dyDescent="0.25">
      <c r="A922" s="1">
        <v>921</v>
      </c>
      <c r="B922">
        <v>0.32220848050952899</v>
      </c>
      <c r="C922">
        <f t="shared" si="56"/>
        <v>63.461699740757211</v>
      </c>
      <c r="D922" s="1">
        <f t="shared" si="57"/>
        <v>63</v>
      </c>
      <c r="E922" s="1">
        <f t="shared" si="58"/>
        <v>12</v>
      </c>
      <c r="F922" s="1">
        <f t="shared" si="59"/>
        <v>416.52</v>
      </c>
    </row>
    <row r="923" spans="1:6" x14ac:dyDescent="0.25">
      <c r="A923" s="1">
        <v>922</v>
      </c>
      <c r="B923">
        <v>7.1950195245768955E-2</v>
      </c>
      <c r="C923">
        <f t="shared" si="56"/>
        <v>38.464515963939611</v>
      </c>
      <c r="D923" s="1">
        <f t="shared" si="57"/>
        <v>38</v>
      </c>
      <c r="E923" s="1">
        <f t="shared" si="58"/>
        <v>37</v>
      </c>
      <c r="F923" s="1">
        <f t="shared" si="59"/>
        <v>240.52</v>
      </c>
    </row>
    <row r="924" spans="1:6" x14ac:dyDescent="0.25">
      <c r="A924" s="1">
        <v>923</v>
      </c>
      <c r="B924">
        <v>0.61420037595157062</v>
      </c>
      <c r="C924">
        <f t="shared" si="56"/>
        <v>82.257091181931074</v>
      </c>
      <c r="D924" s="1">
        <f t="shared" si="57"/>
        <v>75</v>
      </c>
      <c r="E924" s="1">
        <f t="shared" si="58"/>
        <v>0</v>
      </c>
      <c r="F924" s="1">
        <f t="shared" si="59"/>
        <v>501</v>
      </c>
    </row>
    <row r="925" spans="1:6" x14ac:dyDescent="0.25">
      <c r="A925" s="1">
        <v>924</v>
      </c>
      <c r="B925">
        <v>0.10862954018672699</v>
      </c>
      <c r="C925">
        <f t="shared" si="56"/>
        <v>44.153768544429724</v>
      </c>
      <c r="D925" s="1">
        <f t="shared" si="57"/>
        <v>44</v>
      </c>
      <c r="E925" s="1">
        <f t="shared" si="58"/>
        <v>31</v>
      </c>
      <c r="F925" s="1">
        <f t="shared" si="59"/>
        <v>282.76</v>
      </c>
    </row>
    <row r="926" spans="1:6" x14ac:dyDescent="0.25">
      <c r="A926" s="1">
        <v>925</v>
      </c>
      <c r="B926">
        <v>0.18013175489174227</v>
      </c>
      <c r="C926">
        <f t="shared" si="56"/>
        <v>52.128422786712605</v>
      </c>
      <c r="D926" s="1">
        <f t="shared" si="57"/>
        <v>52</v>
      </c>
      <c r="E926" s="1">
        <f t="shared" si="58"/>
        <v>23</v>
      </c>
      <c r="F926" s="1">
        <f t="shared" si="59"/>
        <v>339.08</v>
      </c>
    </row>
    <row r="927" spans="1:6" x14ac:dyDescent="0.25">
      <c r="A927" s="1">
        <v>926</v>
      </c>
      <c r="B927">
        <v>0.54627963292755877</v>
      </c>
      <c r="C927">
        <f t="shared" si="56"/>
        <v>77.906681442910568</v>
      </c>
      <c r="D927" s="1">
        <f t="shared" si="57"/>
        <v>75</v>
      </c>
      <c r="E927" s="1">
        <f t="shared" si="58"/>
        <v>0</v>
      </c>
      <c r="F927" s="1">
        <f t="shared" si="59"/>
        <v>501</v>
      </c>
    </row>
    <row r="928" spans="1:6" x14ac:dyDescent="0.25">
      <c r="A928" s="1">
        <v>927</v>
      </c>
      <c r="B928">
        <v>0.64009405917153828</v>
      </c>
      <c r="C928">
        <f t="shared" si="56"/>
        <v>83.967755514699647</v>
      </c>
      <c r="D928" s="1">
        <f t="shared" si="57"/>
        <v>75</v>
      </c>
      <c r="E928" s="1">
        <f t="shared" si="58"/>
        <v>0</v>
      </c>
      <c r="F928" s="1">
        <f t="shared" si="59"/>
        <v>501</v>
      </c>
    </row>
    <row r="929" spans="1:6" x14ac:dyDescent="0.25">
      <c r="A929" s="1">
        <v>928</v>
      </c>
      <c r="B929">
        <v>0.1412956421265773</v>
      </c>
      <c r="C929">
        <f t="shared" si="56"/>
        <v>48.137089210090181</v>
      </c>
      <c r="D929" s="1">
        <f t="shared" si="57"/>
        <v>48</v>
      </c>
      <c r="E929" s="1">
        <f t="shared" si="58"/>
        <v>27</v>
      </c>
      <c r="F929" s="1">
        <f t="shared" si="59"/>
        <v>310.92</v>
      </c>
    </row>
    <row r="930" spans="1:6" x14ac:dyDescent="0.25">
      <c r="A930" s="1">
        <v>929</v>
      </c>
      <c r="B930">
        <v>0.65433623733563673</v>
      </c>
      <c r="C930">
        <f t="shared" si="56"/>
        <v>84.926353897192371</v>
      </c>
      <c r="D930" s="1">
        <f t="shared" si="57"/>
        <v>75</v>
      </c>
      <c r="E930" s="1">
        <f t="shared" si="58"/>
        <v>0</v>
      </c>
      <c r="F930" s="1">
        <f t="shared" si="59"/>
        <v>501</v>
      </c>
    </row>
    <row r="931" spans="1:6" x14ac:dyDescent="0.25">
      <c r="A931" s="1">
        <v>930</v>
      </c>
      <c r="B931">
        <v>0.79084732827375148</v>
      </c>
      <c r="C931">
        <f t="shared" si="56"/>
        <v>95.234119984624016</v>
      </c>
      <c r="D931" s="1">
        <f t="shared" si="57"/>
        <v>75</v>
      </c>
      <c r="E931" s="1">
        <f t="shared" si="58"/>
        <v>0</v>
      </c>
      <c r="F931" s="1">
        <f t="shared" si="59"/>
        <v>501</v>
      </c>
    </row>
    <row r="932" spans="1:6" x14ac:dyDescent="0.25">
      <c r="A932" s="1">
        <v>931</v>
      </c>
      <c r="B932">
        <v>9.0325314552301195E-2</v>
      </c>
      <c r="C932">
        <f t="shared" si="56"/>
        <v>41.531139154088507</v>
      </c>
      <c r="D932" s="1">
        <f t="shared" si="57"/>
        <v>42</v>
      </c>
      <c r="E932" s="1">
        <f t="shared" si="58"/>
        <v>33</v>
      </c>
      <c r="F932" s="1">
        <f t="shared" si="59"/>
        <v>268.68</v>
      </c>
    </row>
    <row r="933" spans="1:6" x14ac:dyDescent="0.25">
      <c r="A933" s="1">
        <v>932</v>
      </c>
      <c r="B933">
        <v>0.89567386599959131</v>
      </c>
      <c r="C933">
        <f t="shared" si="56"/>
        <v>106.43199968895419</v>
      </c>
      <c r="D933" s="1">
        <f t="shared" si="57"/>
        <v>75</v>
      </c>
      <c r="E933" s="1">
        <f t="shared" si="58"/>
        <v>0</v>
      </c>
      <c r="F933" s="1">
        <f t="shared" si="59"/>
        <v>501</v>
      </c>
    </row>
    <row r="934" spans="1:6" x14ac:dyDescent="0.25">
      <c r="A934" s="1">
        <v>933</v>
      </c>
      <c r="B934">
        <v>0.58669370782690555</v>
      </c>
      <c r="C934">
        <f t="shared" si="56"/>
        <v>80.476202331591253</v>
      </c>
      <c r="D934" s="1">
        <f t="shared" si="57"/>
        <v>75</v>
      </c>
      <c r="E934" s="1">
        <f t="shared" si="58"/>
        <v>0</v>
      </c>
      <c r="F934" s="1">
        <f t="shared" si="59"/>
        <v>501</v>
      </c>
    </row>
    <row r="935" spans="1:6" x14ac:dyDescent="0.25">
      <c r="A935" s="1">
        <v>934</v>
      </c>
      <c r="B935">
        <v>1.468380679629433E-2</v>
      </c>
      <c r="C935">
        <f t="shared" si="56"/>
        <v>20.537090330055982</v>
      </c>
      <c r="D935" s="1">
        <f t="shared" si="57"/>
        <v>21</v>
      </c>
      <c r="E935" s="1">
        <f t="shared" si="58"/>
        <v>54</v>
      </c>
      <c r="F935" s="1">
        <f t="shared" si="59"/>
        <v>120.84</v>
      </c>
    </row>
    <row r="936" spans="1:6" x14ac:dyDescent="0.25">
      <c r="A936" s="1">
        <v>935</v>
      </c>
      <c r="B936">
        <v>0.63726883624203956</v>
      </c>
      <c r="C936">
        <f t="shared" si="56"/>
        <v>83.779199600973428</v>
      </c>
      <c r="D936" s="1">
        <f t="shared" si="57"/>
        <v>75</v>
      </c>
      <c r="E936" s="1">
        <f t="shared" si="58"/>
        <v>0</v>
      </c>
      <c r="F936" s="1">
        <f t="shared" si="59"/>
        <v>501</v>
      </c>
    </row>
    <row r="937" spans="1:6" x14ac:dyDescent="0.25">
      <c r="A937" s="1">
        <v>936</v>
      </c>
      <c r="B937">
        <v>0.66617821829866253</v>
      </c>
      <c r="C937">
        <f t="shared" si="56"/>
        <v>85.734607980354056</v>
      </c>
      <c r="D937" s="1">
        <f t="shared" si="57"/>
        <v>75</v>
      </c>
      <c r="E937" s="1">
        <f t="shared" si="58"/>
        <v>0</v>
      </c>
      <c r="F937" s="1">
        <f t="shared" si="59"/>
        <v>501</v>
      </c>
    </row>
    <row r="938" spans="1:6" x14ac:dyDescent="0.25">
      <c r="A938" s="1">
        <v>937</v>
      </c>
      <c r="B938">
        <v>0.36524009778111521</v>
      </c>
      <c r="C938">
        <f t="shared" si="56"/>
        <v>66.387829143000033</v>
      </c>
      <c r="D938" s="1">
        <f t="shared" si="57"/>
        <v>66</v>
      </c>
      <c r="E938" s="1">
        <f t="shared" si="58"/>
        <v>9</v>
      </c>
      <c r="F938" s="1">
        <f t="shared" si="59"/>
        <v>437.64</v>
      </c>
    </row>
    <row r="939" spans="1:6" x14ac:dyDescent="0.25">
      <c r="A939" s="1">
        <v>938</v>
      </c>
      <c r="B939">
        <v>0.20575323709605253</v>
      </c>
      <c r="C939">
        <f t="shared" si="56"/>
        <v>54.468863814830797</v>
      </c>
      <c r="D939" s="1">
        <f t="shared" si="57"/>
        <v>54</v>
      </c>
      <c r="E939" s="1">
        <f t="shared" si="58"/>
        <v>21</v>
      </c>
      <c r="F939" s="1">
        <f t="shared" si="59"/>
        <v>353.16</v>
      </c>
    </row>
    <row r="940" spans="1:6" x14ac:dyDescent="0.25">
      <c r="A940" s="1">
        <v>939</v>
      </c>
      <c r="B940">
        <v>0.41429235626955574</v>
      </c>
      <c r="C940">
        <f t="shared" si="56"/>
        <v>69.58707298564147</v>
      </c>
      <c r="D940" s="1">
        <f t="shared" si="57"/>
        <v>70</v>
      </c>
      <c r="E940" s="1">
        <f t="shared" si="58"/>
        <v>5</v>
      </c>
      <c r="F940" s="1">
        <f t="shared" si="59"/>
        <v>465.8</v>
      </c>
    </row>
    <row r="941" spans="1:6" x14ac:dyDescent="0.25">
      <c r="A941" s="1">
        <v>940</v>
      </c>
      <c r="B941">
        <v>2.6331164417931263E-2</v>
      </c>
      <c r="C941">
        <f t="shared" si="56"/>
        <v>26.558010929596861</v>
      </c>
      <c r="D941" s="1">
        <f t="shared" si="57"/>
        <v>27</v>
      </c>
      <c r="E941" s="1">
        <f t="shared" si="58"/>
        <v>48</v>
      </c>
      <c r="F941" s="1">
        <f t="shared" si="59"/>
        <v>163.08000000000001</v>
      </c>
    </row>
    <row r="942" spans="1:6" x14ac:dyDescent="0.25">
      <c r="A942" s="1">
        <v>941</v>
      </c>
      <c r="B942">
        <v>0.4629170339018851</v>
      </c>
      <c r="C942">
        <f t="shared" si="56"/>
        <v>72.672813127289729</v>
      </c>
      <c r="D942" s="1">
        <f t="shared" si="57"/>
        <v>73</v>
      </c>
      <c r="E942" s="1">
        <f t="shared" si="58"/>
        <v>2</v>
      </c>
      <c r="F942" s="1">
        <f t="shared" si="59"/>
        <v>486.92</v>
      </c>
    </row>
    <row r="943" spans="1:6" x14ac:dyDescent="0.25">
      <c r="A943" s="1">
        <v>942</v>
      </c>
      <c r="B943">
        <v>0.21722084332172809</v>
      </c>
      <c r="C943">
        <f t="shared" si="56"/>
        <v>55.459659778944271</v>
      </c>
      <c r="D943" s="1">
        <f t="shared" si="57"/>
        <v>55</v>
      </c>
      <c r="E943" s="1">
        <f t="shared" si="58"/>
        <v>20</v>
      </c>
      <c r="F943" s="1">
        <f t="shared" si="59"/>
        <v>360.2</v>
      </c>
    </row>
    <row r="944" spans="1:6" x14ac:dyDescent="0.25">
      <c r="A944" s="1">
        <v>943</v>
      </c>
      <c r="B944">
        <v>0.7196142807649194</v>
      </c>
      <c r="C944">
        <f t="shared" si="56"/>
        <v>89.542401033310824</v>
      </c>
      <c r="D944" s="1">
        <f t="shared" si="57"/>
        <v>75</v>
      </c>
      <c r="E944" s="1">
        <f t="shared" si="58"/>
        <v>0</v>
      </c>
      <c r="F944" s="1">
        <f t="shared" si="59"/>
        <v>501</v>
      </c>
    </row>
    <row r="945" spans="1:6" x14ac:dyDescent="0.25">
      <c r="A945" s="1">
        <v>944</v>
      </c>
      <c r="B945">
        <v>0.50966712146746007</v>
      </c>
      <c r="C945">
        <f t="shared" si="56"/>
        <v>75.605856298021337</v>
      </c>
      <c r="D945" s="1">
        <f t="shared" si="57"/>
        <v>75</v>
      </c>
      <c r="E945" s="1">
        <f t="shared" si="58"/>
        <v>0</v>
      </c>
      <c r="F945" s="1">
        <f t="shared" si="59"/>
        <v>501</v>
      </c>
    </row>
    <row r="946" spans="1:6" x14ac:dyDescent="0.25">
      <c r="A946" s="1">
        <v>945</v>
      </c>
      <c r="B946">
        <v>0.77662354170804626</v>
      </c>
      <c r="C946">
        <f t="shared" si="56"/>
        <v>94.020988405154526</v>
      </c>
      <c r="D946" s="1">
        <f t="shared" si="57"/>
        <v>75</v>
      </c>
      <c r="E946" s="1">
        <f t="shared" si="58"/>
        <v>0</v>
      </c>
      <c r="F946" s="1">
        <f t="shared" si="59"/>
        <v>501</v>
      </c>
    </row>
    <row r="947" spans="1:6" x14ac:dyDescent="0.25">
      <c r="A947" s="1">
        <v>946</v>
      </c>
      <c r="B947">
        <v>0.48517868280648102</v>
      </c>
      <c r="C947">
        <f t="shared" si="56"/>
        <v>74.070997920204988</v>
      </c>
      <c r="D947" s="1">
        <f t="shared" si="57"/>
        <v>74</v>
      </c>
      <c r="E947" s="1">
        <f t="shared" si="58"/>
        <v>1</v>
      </c>
      <c r="F947" s="1">
        <f t="shared" si="59"/>
        <v>493.96</v>
      </c>
    </row>
    <row r="948" spans="1:6" x14ac:dyDescent="0.25">
      <c r="A948" s="1">
        <v>947</v>
      </c>
      <c r="B948">
        <v>0.43934242450774552</v>
      </c>
      <c r="C948">
        <f t="shared" si="56"/>
        <v>71.184084634361398</v>
      </c>
      <c r="D948" s="1">
        <f t="shared" si="57"/>
        <v>71</v>
      </c>
      <c r="E948" s="1">
        <f t="shared" si="58"/>
        <v>4</v>
      </c>
      <c r="F948" s="1">
        <f t="shared" si="59"/>
        <v>472.84</v>
      </c>
    </row>
    <row r="949" spans="1:6" x14ac:dyDescent="0.25">
      <c r="A949" s="1">
        <v>948</v>
      </c>
      <c r="B949">
        <v>0.73249602251597989</v>
      </c>
      <c r="C949">
        <f t="shared" si="56"/>
        <v>90.509487907963276</v>
      </c>
      <c r="D949" s="1">
        <f t="shared" si="57"/>
        <v>75</v>
      </c>
      <c r="E949" s="1">
        <f t="shared" si="58"/>
        <v>0</v>
      </c>
      <c r="F949" s="1">
        <f t="shared" si="59"/>
        <v>501</v>
      </c>
    </row>
    <row r="950" spans="1:6" x14ac:dyDescent="0.25">
      <c r="A950" s="1">
        <v>949</v>
      </c>
      <c r="B950">
        <v>0.57568818902689733</v>
      </c>
      <c r="C950">
        <f t="shared" si="56"/>
        <v>79.771871975501981</v>
      </c>
      <c r="D950" s="1">
        <f t="shared" si="57"/>
        <v>75</v>
      </c>
      <c r="E950" s="1">
        <f t="shared" si="58"/>
        <v>0</v>
      </c>
      <c r="F950" s="1">
        <f t="shared" si="59"/>
        <v>501</v>
      </c>
    </row>
    <row r="951" spans="1:6" x14ac:dyDescent="0.25">
      <c r="A951" s="1">
        <v>950</v>
      </c>
      <c r="B951">
        <v>0.84446569620716772</v>
      </c>
      <c r="C951">
        <f t="shared" si="56"/>
        <v>100.3245579100286</v>
      </c>
      <c r="D951" s="1">
        <f t="shared" si="57"/>
        <v>75</v>
      </c>
      <c r="E951" s="1">
        <f t="shared" si="58"/>
        <v>0</v>
      </c>
      <c r="F951" s="1">
        <f t="shared" si="59"/>
        <v>501</v>
      </c>
    </row>
    <row r="952" spans="1:6" x14ac:dyDescent="0.25">
      <c r="A952" s="1">
        <v>951</v>
      </c>
      <c r="B952">
        <v>0.89678638023285961</v>
      </c>
      <c r="C952">
        <f t="shared" si="56"/>
        <v>106.58626846458762</v>
      </c>
      <c r="D952" s="1">
        <f t="shared" si="57"/>
        <v>75</v>
      </c>
      <c r="E952" s="1">
        <f t="shared" si="58"/>
        <v>0</v>
      </c>
      <c r="F952" s="1">
        <f t="shared" si="59"/>
        <v>501</v>
      </c>
    </row>
    <row r="953" spans="1:6" x14ac:dyDescent="0.25">
      <c r="A953" s="1">
        <v>952</v>
      </c>
      <c r="B953">
        <v>0.7458951878778296</v>
      </c>
      <c r="C953">
        <f t="shared" si="56"/>
        <v>91.540701329310195</v>
      </c>
      <c r="D953" s="1">
        <f t="shared" si="57"/>
        <v>75</v>
      </c>
      <c r="E953" s="1">
        <f t="shared" si="58"/>
        <v>0</v>
      </c>
      <c r="F953" s="1">
        <f t="shared" si="59"/>
        <v>501</v>
      </c>
    </row>
    <row r="954" spans="1:6" x14ac:dyDescent="0.25">
      <c r="A954" s="1">
        <v>953</v>
      </c>
      <c r="B954">
        <v>0.84148652172055383</v>
      </c>
      <c r="C954">
        <f t="shared" si="56"/>
        <v>100.01465231086193</v>
      </c>
      <c r="D954" s="1">
        <f t="shared" si="57"/>
        <v>75</v>
      </c>
      <c r="E954" s="1">
        <f t="shared" si="58"/>
        <v>0</v>
      </c>
      <c r="F954" s="1">
        <f t="shared" si="59"/>
        <v>501</v>
      </c>
    </row>
    <row r="955" spans="1:6" x14ac:dyDescent="0.25">
      <c r="A955" s="1">
        <v>954</v>
      </c>
      <c r="B955">
        <v>0.15126365722327206</v>
      </c>
      <c r="C955">
        <f t="shared" si="56"/>
        <v>49.224280001859967</v>
      </c>
      <c r="D955" s="1">
        <f t="shared" si="57"/>
        <v>49</v>
      </c>
      <c r="E955" s="1">
        <f t="shared" si="58"/>
        <v>26</v>
      </c>
      <c r="F955" s="1">
        <f t="shared" si="59"/>
        <v>317.95999999999998</v>
      </c>
    </row>
    <row r="956" spans="1:6" x14ac:dyDescent="0.25">
      <c r="A956" s="1">
        <v>955</v>
      </c>
      <c r="B956">
        <v>0.5421207696755479</v>
      </c>
      <c r="C956">
        <f t="shared" si="56"/>
        <v>77.644450997356358</v>
      </c>
      <c r="D956" s="1">
        <f t="shared" si="57"/>
        <v>75</v>
      </c>
      <c r="E956" s="1">
        <f t="shared" si="58"/>
        <v>0</v>
      </c>
      <c r="F956" s="1">
        <f t="shared" si="59"/>
        <v>501</v>
      </c>
    </row>
    <row r="957" spans="1:6" x14ac:dyDescent="0.25">
      <c r="A957" s="1">
        <v>956</v>
      </c>
      <c r="B957">
        <v>0.8102637950793723</v>
      </c>
      <c r="C957">
        <f t="shared" si="56"/>
        <v>96.97172033846077</v>
      </c>
      <c r="D957" s="1">
        <f t="shared" si="57"/>
        <v>75</v>
      </c>
      <c r="E957" s="1">
        <f t="shared" si="58"/>
        <v>0</v>
      </c>
      <c r="F957" s="1">
        <f t="shared" si="59"/>
        <v>501</v>
      </c>
    </row>
    <row r="958" spans="1:6" x14ac:dyDescent="0.25">
      <c r="A958" s="1">
        <v>957</v>
      </c>
      <c r="B958">
        <v>0.76256699613091294</v>
      </c>
      <c r="C958">
        <f t="shared" si="56"/>
        <v>92.864605118117495</v>
      </c>
      <c r="D958" s="1">
        <f t="shared" si="57"/>
        <v>75</v>
      </c>
      <c r="E958" s="1">
        <f t="shared" si="58"/>
        <v>0</v>
      </c>
      <c r="F958" s="1">
        <f t="shared" si="59"/>
        <v>501</v>
      </c>
    </row>
    <row r="959" spans="1:6" x14ac:dyDescent="0.25">
      <c r="A959" s="1">
        <v>958</v>
      </c>
      <c r="B959">
        <v>0.15647117109504227</v>
      </c>
      <c r="C959">
        <f t="shared" si="56"/>
        <v>49.773316616478162</v>
      </c>
      <c r="D959" s="1">
        <f t="shared" si="57"/>
        <v>50</v>
      </c>
      <c r="E959" s="1">
        <f t="shared" si="58"/>
        <v>25</v>
      </c>
      <c r="F959" s="1">
        <f t="shared" si="59"/>
        <v>325</v>
      </c>
    </row>
    <row r="960" spans="1:6" x14ac:dyDescent="0.25">
      <c r="A960" s="1">
        <v>959</v>
      </c>
      <c r="B960">
        <v>0.85575821865463209</v>
      </c>
      <c r="C960">
        <f t="shared" si="56"/>
        <v>101.53635355914327</v>
      </c>
      <c r="D960" s="1">
        <f t="shared" si="57"/>
        <v>75</v>
      </c>
      <c r="E960" s="1">
        <f t="shared" si="58"/>
        <v>0</v>
      </c>
      <c r="F960" s="1">
        <f t="shared" si="59"/>
        <v>501</v>
      </c>
    </row>
    <row r="961" spans="1:6" x14ac:dyDescent="0.25">
      <c r="A961" s="1">
        <v>960</v>
      </c>
      <c r="B961">
        <v>0.46185956509012394</v>
      </c>
      <c r="C961">
        <f t="shared" si="56"/>
        <v>72.606250036018125</v>
      </c>
      <c r="D961" s="1">
        <f t="shared" si="57"/>
        <v>73</v>
      </c>
      <c r="E961" s="1">
        <f t="shared" si="58"/>
        <v>2</v>
      </c>
      <c r="F961" s="1">
        <f t="shared" si="59"/>
        <v>486.92</v>
      </c>
    </row>
    <row r="962" spans="1:6" x14ac:dyDescent="0.25">
      <c r="A962" s="1">
        <v>961</v>
      </c>
      <c r="B962">
        <v>0.13254328884172795</v>
      </c>
      <c r="C962">
        <f t="shared" si="56"/>
        <v>47.138772994003041</v>
      </c>
      <c r="D962" s="1">
        <f t="shared" si="57"/>
        <v>47</v>
      </c>
      <c r="E962" s="1">
        <f t="shared" si="58"/>
        <v>28</v>
      </c>
      <c r="F962" s="1">
        <f t="shared" si="59"/>
        <v>303.88</v>
      </c>
    </row>
    <row r="963" spans="1:6" x14ac:dyDescent="0.25">
      <c r="A963" s="1">
        <v>962</v>
      </c>
      <c r="B963">
        <v>2.7796384316943867E-2</v>
      </c>
      <c r="C963">
        <f t="shared" ref="C963:C1001" si="60">_xlfn.NORM.INV(B963,75,25)</f>
        <v>27.144640408311922</v>
      </c>
      <c r="D963" s="1">
        <f t="shared" ref="D963:D1001" si="61">MIN(ROUND(C963,0),$H$2)</f>
        <v>27</v>
      </c>
      <c r="E963" s="1">
        <f t="shared" ref="E963:E1001" si="62">$H$2-D963</f>
        <v>48</v>
      </c>
      <c r="F963" s="1">
        <f t="shared" ref="F963:F1001" si="63">7*D963-$H$2/25*8-E963/25*1</f>
        <v>163.08000000000001</v>
      </c>
    </row>
    <row r="964" spans="1:6" x14ac:dyDescent="0.25">
      <c r="A964" s="1">
        <v>963</v>
      </c>
      <c r="B964">
        <v>0.88889939056626244</v>
      </c>
      <c r="C964">
        <f t="shared" si="60"/>
        <v>105.51739498100829</v>
      </c>
      <c r="D964" s="1">
        <f t="shared" si="61"/>
        <v>75</v>
      </c>
      <c r="E964" s="1">
        <f t="shared" si="62"/>
        <v>0</v>
      </c>
      <c r="F964" s="1">
        <f t="shared" si="63"/>
        <v>501</v>
      </c>
    </row>
    <row r="965" spans="1:6" x14ac:dyDescent="0.25">
      <c r="A965" s="1">
        <v>964</v>
      </c>
      <c r="B965">
        <v>1.0581583626466884E-2</v>
      </c>
      <c r="C965">
        <f t="shared" si="60"/>
        <v>17.37347943703751</v>
      </c>
      <c r="D965" s="1">
        <f t="shared" si="61"/>
        <v>17</v>
      </c>
      <c r="E965" s="1">
        <f t="shared" si="62"/>
        <v>58</v>
      </c>
      <c r="F965" s="1">
        <f t="shared" si="63"/>
        <v>92.68</v>
      </c>
    </row>
    <row r="966" spans="1:6" x14ac:dyDescent="0.25">
      <c r="A966" s="1">
        <v>965</v>
      </c>
      <c r="B966">
        <v>0.44777987219816739</v>
      </c>
      <c r="C966">
        <f t="shared" si="60"/>
        <v>71.718187470367184</v>
      </c>
      <c r="D966" s="1">
        <f t="shared" si="61"/>
        <v>72</v>
      </c>
      <c r="E966" s="1">
        <f t="shared" si="62"/>
        <v>3</v>
      </c>
      <c r="F966" s="1">
        <f t="shared" si="63"/>
        <v>479.88</v>
      </c>
    </row>
    <row r="967" spans="1:6" x14ac:dyDescent="0.25">
      <c r="A967" s="1">
        <v>966</v>
      </c>
      <c r="B967">
        <v>0.42510239961202057</v>
      </c>
      <c r="C967">
        <f t="shared" si="60"/>
        <v>70.278571911619522</v>
      </c>
      <c r="D967" s="1">
        <f t="shared" si="61"/>
        <v>70</v>
      </c>
      <c r="E967" s="1">
        <f t="shared" si="62"/>
        <v>5</v>
      </c>
      <c r="F967" s="1">
        <f t="shared" si="63"/>
        <v>465.8</v>
      </c>
    </row>
    <row r="968" spans="1:6" x14ac:dyDescent="0.25">
      <c r="A968" s="1">
        <v>967</v>
      </c>
      <c r="B968">
        <v>0.12096910054467314</v>
      </c>
      <c r="C968">
        <f t="shared" si="60"/>
        <v>45.746100319591989</v>
      </c>
      <c r="D968" s="1">
        <f t="shared" si="61"/>
        <v>46</v>
      </c>
      <c r="E968" s="1">
        <f t="shared" si="62"/>
        <v>29</v>
      </c>
      <c r="F968" s="1">
        <f t="shared" si="63"/>
        <v>296.83999999999997</v>
      </c>
    </row>
    <row r="969" spans="1:6" x14ac:dyDescent="0.25">
      <c r="A969" s="1">
        <v>968</v>
      </c>
      <c r="B969">
        <v>0.89559592483058215</v>
      </c>
      <c r="C969">
        <f t="shared" si="60"/>
        <v>106.42123663610488</v>
      </c>
      <c r="D969" s="1">
        <f t="shared" si="61"/>
        <v>75</v>
      </c>
      <c r="E969" s="1">
        <f t="shared" si="62"/>
        <v>0</v>
      </c>
      <c r="F969" s="1">
        <f t="shared" si="63"/>
        <v>501</v>
      </c>
    </row>
    <row r="970" spans="1:6" x14ac:dyDescent="0.25">
      <c r="A970" s="1">
        <v>969</v>
      </c>
      <c r="B970">
        <v>0.79015380706935423</v>
      </c>
      <c r="C970">
        <f t="shared" si="60"/>
        <v>95.173876031356571</v>
      </c>
      <c r="D970" s="1">
        <f t="shared" si="61"/>
        <v>75</v>
      </c>
      <c r="E970" s="1">
        <f t="shared" si="62"/>
        <v>0</v>
      </c>
      <c r="F970" s="1">
        <f t="shared" si="63"/>
        <v>501</v>
      </c>
    </row>
    <row r="971" spans="1:6" x14ac:dyDescent="0.25">
      <c r="A971" s="1">
        <v>970</v>
      </c>
      <c r="B971">
        <v>0.93398284047961855</v>
      </c>
      <c r="C971">
        <f t="shared" si="60"/>
        <v>112.65319989777811</v>
      </c>
      <c r="D971" s="1">
        <f t="shared" si="61"/>
        <v>75</v>
      </c>
      <c r="E971" s="1">
        <f t="shared" si="62"/>
        <v>0</v>
      </c>
      <c r="F971" s="1">
        <f t="shared" si="63"/>
        <v>501</v>
      </c>
    </row>
    <row r="972" spans="1:6" x14ac:dyDescent="0.25">
      <c r="A972" s="1">
        <v>971</v>
      </c>
      <c r="B972">
        <v>0.52831849309023404</v>
      </c>
      <c r="C972">
        <f t="shared" si="60"/>
        <v>76.776091304596349</v>
      </c>
      <c r="D972" s="1">
        <f t="shared" si="61"/>
        <v>75</v>
      </c>
      <c r="E972" s="1">
        <f t="shared" si="62"/>
        <v>0</v>
      </c>
      <c r="F972" s="1">
        <f t="shared" si="63"/>
        <v>501</v>
      </c>
    </row>
    <row r="973" spans="1:6" x14ac:dyDescent="0.25">
      <c r="A973" s="1">
        <v>972</v>
      </c>
      <c r="B973">
        <v>1.9567883805805542E-3</v>
      </c>
      <c r="C973">
        <f t="shared" si="60"/>
        <v>2.8738741754196155</v>
      </c>
      <c r="D973" s="1">
        <f t="shared" si="61"/>
        <v>3</v>
      </c>
      <c r="E973" s="1">
        <f t="shared" si="62"/>
        <v>72</v>
      </c>
      <c r="F973" s="1">
        <f t="shared" si="63"/>
        <v>-5.88</v>
      </c>
    </row>
    <row r="974" spans="1:6" x14ac:dyDescent="0.25">
      <c r="A974" s="1">
        <v>973</v>
      </c>
      <c r="B974">
        <v>0.30141060131948572</v>
      </c>
      <c r="C974">
        <f t="shared" si="60"/>
        <v>61.991305610330535</v>
      </c>
      <c r="D974" s="1">
        <f t="shared" si="61"/>
        <v>62</v>
      </c>
      <c r="E974" s="1">
        <f t="shared" si="62"/>
        <v>13</v>
      </c>
      <c r="F974" s="1">
        <f t="shared" si="63"/>
        <v>409.48</v>
      </c>
    </row>
    <row r="975" spans="1:6" x14ac:dyDescent="0.25">
      <c r="A975" s="1">
        <v>974</v>
      </c>
      <c r="B975">
        <v>0.81784863183275291</v>
      </c>
      <c r="C975">
        <f t="shared" si="60"/>
        <v>97.679919967437698</v>
      </c>
      <c r="D975" s="1">
        <f t="shared" si="61"/>
        <v>75</v>
      </c>
      <c r="E975" s="1">
        <f t="shared" si="62"/>
        <v>0</v>
      </c>
      <c r="F975" s="1">
        <f t="shared" si="63"/>
        <v>501</v>
      </c>
    </row>
    <row r="976" spans="1:6" x14ac:dyDescent="0.25">
      <c r="A976" s="1">
        <v>975</v>
      </c>
      <c r="B976">
        <v>0.24474103374525813</v>
      </c>
      <c r="C976">
        <f t="shared" si="60"/>
        <v>57.721679125367537</v>
      </c>
      <c r="D976" s="1">
        <f t="shared" si="61"/>
        <v>58</v>
      </c>
      <c r="E976" s="1">
        <f t="shared" si="62"/>
        <v>17</v>
      </c>
      <c r="F976" s="1">
        <f t="shared" si="63"/>
        <v>381.32</v>
      </c>
    </row>
    <row r="977" spans="1:6" x14ac:dyDescent="0.25">
      <c r="A977" s="1">
        <v>976</v>
      </c>
      <c r="B977">
        <v>6.8641780793600948E-2</v>
      </c>
      <c r="C977">
        <f t="shared" si="60"/>
        <v>37.850419699787594</v>
      </c>
      <c r="D977" s="1">
        <f t="shared" si="61"/>
        <v>38</v>
      </c>
      <c r="E977" s="1">
        <f t="shared" si="62"/>
        <v>37</v>
      </c>
      <c r="F977" s="1">
        <f t="shared" si="63"/>
        <v>240.52</v>
      </c>
    </row>
    <row r="978" spans="1:6" x14ac:dyDescent="0.25">
      <c r="A978" s="1">
        <v>977</v>
      </c>
      <c r="B978">
        <v>0.46041247095076032</v>
      </c>
      <c r="C978">
        <f t="shared" si="60"/>
        <v>72.515134111770038</v>
      </c>
      <c r="D978" s="1">
        <f t="shared" si="61"/>
        <v>73</v>
      </c>
      <c r="E978" s="1">
        <f t="shared" si="62"/>
        <v>2</v>
      </c>
      <c r="F978" s="1">
        <f t="shared" si="63"/>
        <v>486.92</v>
      </c>
    </row>
    <row r="979" spans="1:6" x14ac:dyDescent="0.25">
      <c r="A979" s="1">
        <v>978</v>
      </c>
      <c r="B979">
        <v>7.7631739693278745E-2</v>
      </c>
      <c r="C979">
        <f t="shared" si="60"/>
        <v>39.470417591415234</v>
      </c>
      <c r="D979" s="1">
        <f t="shared" si="61"/>
        <v>39</v>
      </c>
      <c r="E979" s="1">
        <f t="shared" si="62"/>
        <v>36</v>
      </c>
      <c r="F979" s="1">
        <f t="shared" si="63"/>
        <v>247.56</v>
      </c>
    </row>
    <row r="980" spans="1:6" x14ac:dyDescent="0.25">
      <c r="A980" s="1">
        <v>979</v>
      </c>
      <c r="B980">
        <v>0.72324116015258721</v>
      </c>
      <c r="C980">
        <f t="shared" si="60"/>
        <v>89.812430577820464</v>
      </c>
      <c r="D980" s="1">
        <f t="shared" si="61"/>
        <v>75</v>
      </c>
      <c r="E980" s="1">
        <f t="shared" si="62"/>
        <v>0</v>
      </c>
      <c r="F980" s="1">
        <f t="shared" si="63"/>
        <v>501</v>
      </c>
    </row>
    <row r="981" spans="1:6" x14ac:dyDescent="0.25">
      <c r="A981" s="1">
        <v>980</v>
      </c>
      <c r="B981">
        <v>0.74357144651779328</v>
      </c>
      <c r="C981">
        <f t="shared" si="60"/>
        <v>91.359884622771915</v>
      </c>
      <c r="D981" s="1">
        <f t="shared" si="61"/>
        <v>75</v>
      </c>
      <c r="E981" s="1">
        <f t="shared" si="62"/>
        <v>0</v>
      </c>
      <c r="F981" s="1">
        <f t="shared" si="63"/>
        <v>501</v>
      </c>
    </row>
    <row r="982" spans="1:6" x14ac:dyDescent="0.25">
      <c r="A982" s="1">
        <v>981</v>
      </c>
      <c r="B982">
        <v>0.13350534390587587</v>
      </c>
      <c r="C982">
        <f t="shared" si="60"/>
        <v>47.250676532222187</v>
      </c>
      <c r="D982" s="1">
        <f t="shared" si="61"/>
        <v>47</v>
      </c>
      <c r="E982" s="1">
        <f t="shared" si="62"/>
        <v>28</v>
      </c>
      <c r="F982" s="1">
        <f t="shared" si="63"/>
        <v>303.88</v>
      </c>
    </row>
    <row r="983" spans="1:6" x14ac:dyDescent="0.25">
      <c r="A983" s="1">
        <v>982</v>
      </c>
      <c r="B983">
        <v>0.95484471622469858</v>
      </c>
      <c r="C983">
        <f t="shared" si="60"/>
        <v>117.3440434406798</v>
      </c>
      <c r="D983" s="1">
        <f t="shared" si="61"/>
        <v>75</v>
      </c>
      <c r="E983" s="1">
        <f t="shared" si="62"/>
        <v>0</v>
      </c>
      <c r="F983" s="1">
        <f t="shared" si="63"/>
        <v>501</v>
      </c>
    </row>
    <row r="984" spans="1:6" x14ac:dyDescent="0.25">
      <c r="A984" s="1">
        <v>983</v>
      </c>
      <c r="B984">
        <v>0.95310623166326169</v>
      </c>
      <c r="C984">
        <f t="shared" si="60"/>
        <v>116.89370342216705</v>
      </c>
      <c r="D984" s="1">
        <f t="shared" si="61"/>
        <v>75</v>
      </c>
      <c r="E984" s="1">
        <f t="shared" si="62"/>
        <v>0</v>
      </c>
      <c r="F984" s="1">
        <f t="shared" si="63"/>
        <v>501</v>
      </c>
    </row>
    <row r="985" spans="1:6" x14ac:dyDescent="0.25">
      <c r="A985" s="1">
        <v>984</v>
      </c>
      <c r="B985">
        <v>0.64684202674971336</v>
      </c>
      <c r="C985">
        <f t="shared" si="60"/>
        <v>84.420211725994619</v>
      </c>
      <c r="D985" s="1">
        <f t="shared" si="61"/>
        <v>75</v>
      </c>
      <c r="E985" s="1">
        <f t="shared" si="62"/>
        <v>0</v>
      </c>
      <c r="F985" s="1">
        <f t="shared" si="63"/>
        <v>501</v>
      </c>
    </row>
    <row r="986" spans="1:6" x14ac:dyDescent="0.25">
      <c r="A986" s="1">
        <v>985</v>
      </c>
      <c r="B986">
        <v>0.25744000938890932</v>
      </c>
      <c r="C986">
        <f t="shared" si="60"/>
        <v>58.71855245068474</v>
      </c>
      <c r="D986" s="1">
        <f t="shared" si="61"/>
        <v>59</v>
      </c>
      <c r="E986" s="1">
        <f t="shared" si="62"/>
        <v>16</v>
      </c>
      <c r="F986" s="1">
        <f t="shared" si="63"/>
        <v>388.36</v>
      </c>
    </row>
    <row r="987" spans="1:6" x14ac:dyDescent="0.25">
      <c r="A987" s="1">
        <v>986</v>
      </c>
      <c r="B987">
        <v>0.78420282527651719</v>
      </c>
      <c r="C987">
        <f t="shared" si="60"/>
        <v>94.661657726968556</v>
      </c>
      <c r="D987" s="1">
        <f t="shared" si="61"/>
        <v>75</v>
      </c>
      <c r="E987" s="1">
        <f t="shared" si="62"/>
        <v>0</v>
      </c>
      <c r="F987" s="1">
        <f t="shared" si="63"/>
        <v>501</v>
      </c>
    </row>
    <row r="988" spans="1:6" x14ac:dyDescent="0.25">
      <c r="A988" s="1">
        <v>987</v>
      </c>
      <c r="B988">
        <v>0.17314386823802186</v>
      </c>
      <c r="C988">
        <f t="shared" si="60"/>
        <v>51.454643179087526</v>
      </c>
      <c r="D988" s="1">
        <f t="shared" si="61"/>
        <v>51</v>
      </c>
      <c r="E988" s="1">
        <f t="shared" si="62"/>
        <v>24</v>
      </c>
      <c r="F988" s="1">
        <f t="shared" si="63"/>
        <v>332.04</v>
      </c>
    </row>
    <row r="989" spans="1:6" x14ac:dyDescent="0.25">
      <c r="A989" s="1">
        <v>988</v>
      </c>
      <c r="B989">
        <v>0.35815600049302021</v>
      </c>
      <c r="C989">
        <f t="shared" si="60"/>
        <v>65.915197455731288</v>
      </c>
      <c r="D989" s="1">
        <f t="shared" si="61"/>
        <v>66</v>
      </c>
      <c r="E989" s="1">
        <f t="shared" si="62"/>
        <v>9</v>
      </c>
      <c r="F989" s="1">
        <f t="shared" si="63"/>
        <v>437.64</v>
      </c>
    </row>
    <row r="990" spans="1:6" x14ac:dyDescent="0.25">
      <c r="A990" s="1">
        <v>989</v>
      </c>
      <c r="B990">
        <v>0.94884555247695623</v>
      </c>
      <c r="C990">
        <f t="shared" si="60"/>
        <v>115.84404276276118</v>
      </c>
      <c r="D990" s="1">
        <f t="shared" si="61"/>
        <v>75</v>
      </c>
      <c r="E990" s="1">
        <f t="shared" si="62"/>
        <v>0</v>
      </c>
      <c r="F990" s="1">
        <f t="shared" si="63"/>
        <v>501</v>
      </c>
    </row>
    <row r="991" spans="1:6" x14ac:dyDescent="0.25">
      <c r="A991" s="1">
        <v>990</v>
      </c>
      <c r="B991">
        <v>8.5265527906591032E-2</v>
      </c>
      <c r="C991">
        <f t="shared" si="60"/>
        <v>40.737514458702705</v>
      </c>
      <c r="D991" s="1">
        <f t="shared" si="61"/>
        <v>41</v>
      </c>
      <c r="E991" s="1">
        <f t="shared" si="62"/>
        <v>34</v>
      </c>
      <c r="F991" s="1">
        <f t="shared" si="63"/>
        <v>261.64</v>
      </c>
    </row>
    <row r="992" spans="1:6" x14ac:dyDescent="0.25">
      <c r="A992" s="1">
        <v>991</v>
      </c>
      <c r="B992">
        <v>0.66146924373777571</v>
      </c>
      <c r="C992">
        <f t="shared" si="60"/>
        <v>85.411907286483284</v>
      </c>
      <c r="D992" s="1">
        <f t="shared" si="61"/>
        <v>75</v>
      </c>
      <c r="E992" s="1">
        <f t="shared" si="62"/>
        <v>0</v>
      </c>
      <c r="F992" s="1">
        <f t="shared" si="63"/>
        <v>501</v>
      </c>
    </row>
    <row r="993" spans="1:6" x14ac:dyDescent="0.25">
      <c r="A993" s="1">
        <v>992</v>
      </c>
      <c r="B993">
        <v>0.83994557752967591</v>
      </c>
      <c r="C993">
        <f t="shared" si="60"/>
        <v>99.855855856122275</v>
      </c>
      <c r="D993" s="1">
        <f t="shared" si="61"/>
        <v>75</v>
      </c>
      <c r="E993" s="1">
        <f t="shared" si="62"/>
        <v>0</v>
      </c>
      <c r="F993" s="1">
        <f t="shared" si="63"/>
        <v>501</v>
      </c>
    </row>
    <row r="994" spans="1:6" x14ac:dyDescent="0.25">
      <c r="A994" s="1">
        <v>993</v>
      </c>
      <c r="B994">
        <v>3.5112557132629951E-2</v>
      </c>
      <c r="C994">
        <f t="shared" si="60"/>
        <v>29.73860201322131</v>
      </c>
      <c r="D994" s="1">
        <f t="shared" si="61"/>
        <v>30</v>
      </c>
      <c r="E994" s="1">
        <f t="shared" si="62"/>
        <v>45</v>
      </c>
      <c r="F994" s="1">
        <f t="shared" si="63"/>
        <v>184.2</v>
      </c>
    </row>
    <row r="995" spans="1:6" x14ac:dyDescent="0.25">
      <c r="A995" s="1">
        <v>994</v>
      </c>
      <c r="B995">
        <v>0.39282520532892873</v>
      </c>
      <c r="C995">
        <f t="shared" si="60"/>
        <v>68.200923099814219</v>
      </c>
      <c r="D995" s="1">
        <f t="shared" si="61"/>
        <v>68</v>
      </c>
      <c r="E995" s="1">
        <f t="shared" si="62"/>
        <v>7</v>
      </c>
      <c r="F995" s="1">
        <f t="shared" si="63"/>
        <v>451.72</v>
      </c>
    </row>
    <row r="996" spans="1:6" x14ac:dyDescent="0.25">
      <c r="A996" s="1">
        <v>995</v>
      </c>
      <c r="B996">
        <v>0.95514846813804821</v>
      </c>
      <c r="C996">
        <f t="shared" si="60"/>
        <v>117.42415330582608</v>
      </c>
      <c r="D996" s="1">
        <f t="shared" si="61"/>
        <v>75</v>
      </c>
      <c r="E996" s="1">
        <f t="shared" si="62"/>
        <v>0</v>
      </c>
      <c r="F996" s="1">
        <f t="shared" si="63"/>
        <v>501</v>
      </c>
    </row>
    <row r="997" spans="1:6" x14ac:dyDescent="0.25">
      <c r="A997" s="1">
        <v>996</v>
      </c>
      <c r="B997">
        <v>0.2853550292544863</v>
      </c>
      <c r="C997">
        <f t="shared" si="60"/>
        <v>60.824848282487814</v>
      </c>
      <c r="D997" s="1">
        <f t="shared" si="61"/>
        <v>61</v>
      </c>
      <c r="E997" s="1">
        <f t="shared" si="62"/>
        <v>14</v>
      </c>
      <c r="F997" s="1">
        <f t="shared" si="63"/>
        <v>402.44</v>
      </c>
    </row>
    <row r="998" spans="1:6" x14ac:dyDescent="0.25">
      <c r="A998" s="1">
        <v>997</v>
      </c>
      <c r="B998">
        <v>0.93865721283019299</v>
      </c>
      <c r="C998">
        <f t="shared" si="60"/>
        <v>113.58996810069823</v>
      </c>
      <c r="D998" s="1">
        <f t="shared" si="61"/>
        <v>75</v>
      </c>
      <c r="E998" s="1">
        <f t="shared" si="62"/>
        <v>0</v>
      </c>
      <c r="F998" s="1">
        <f t="shared" si="63"/>
        <v>501</v>
      </c>
    </row>
    <row r="999" spans="1:6" x14ac:dyDescent="0.25">
      <c r="A999" s="1">
        <v>998</v>
      </c>
      <c r="B999">
        <v>0.9652599567789103</v>
      </c>
      <c r="C999">
        <f t="shared" si="60"/>
        <v>120.38213093994445</v>
      </c>
      <c r="D999" s="1">
        <f t="shared" si="61"/>
        <v>75</v>
      </c>
      <c r="E999" s="1">
        <f t="shared" si="62"/>
        <v>0</v>
      </c>
      <c r="F999" s="1">
        <f t="shared" si="63"/>
        <v>501</v>
      </c>
    </row>
    <row r="1000" spans="1:6" x14ac:dyDescent="0.25">
      <c r="A1000" s="1">
        <v>999</v>
      </c>
      <c r="B1000">
        <v>0.63954730729044895</v>
      </c>
      <c r="C1000">
        <f t="shared" si="60"/>
        <v>83.931225692909265</v>
      </c>
      <c r="D1000" s="1">
        <f t="shared" si="61"/>
        <v>75</v>
      </c>
      <c r="E1000" s="1">
        <f t="shared" si="62"/>
        <v>0</v>
      </c>
      <c r="F1000" s="1">
        <f t="shared" si="63"/>
        <v>501</v>
      </c>
    </row>
    <row r="1001" spans="1:6" x14ac:dyDescent="0.25">
      <c r="A1001" s="1">
        <v>1000</v>
      </c>
      <c r="B1001">
        <v>0.14932034437023145</v>
      </c>
      <c r="C1001">
        <f t="shared" si="60"/>
        <v>49.016180088191859</v>
      </c>
      <c r="D1001" s="1">
        <f t="shared" si="61"/>
        <v>49</v>
      </c>
      <c r="E1001" s="1">
        <f t="shared" si="62"/>
        <v>26</v>
      </c>
      <c r="F1001" s="1">
        <f t="shared" si="63"/>
        <v>317.95999999999998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C2809-C37D-44F9-9C5F-E1E171FE4548}">
  <sheetPr>
    <tabColor rgb="FFFFC000"/>
  </sheetPr>
  <dimension ref="A1:P482"/>
  <sheetViews>
    <sheetView workbookViewId="0">
      <selection activeCell="H9" sqref="H9"/>
    </sheetView>
  </sheetViews>
  <sheetFormatPr defaultRowHeight="13.8" x14ac:dyDescent="0.25"/>
  <cols>
    <col min="1" max="3" width="8.88671875" style="1"/>
    <col min="4" max="4" width="14.5546875" style="1" bestFit="1" customWidth="1"/>
    <col min="5" max="10" width="8.88671875" style="1"/>
    <col min="11" max="11" width="19" style="1" bestFit="1" customWidth="1"/>
    <col min="12" max="12" width="13" style="1" bestFit="1" customWidth="1"/>
    <col min="13" max="13" width="12.77734375" style="1" customWidth="1"/>
    <col min="14" max="16" width="8.88671875" style="1"/>
  </cols>
  <sheetData>
    <row r="1" spans="1:16" ht="15.6" x14ac:dyDescent="0.3">
      <c r="A1" s="1" t="s">
        <v>31</v>
      </c>
      <c r="B1" s="1" t="s">
        <v>32</v>
      </c>
      <c r="C1" s="12" t="s">
        <v>33</v>
      </c>
      <c r="D1" s="13" t="s">
        <v>34</v>
      </c>
      <c r="E1" s="12" t="s">
        <v>35</v>
      </c>
    </row>
    <row r="2" spans="1:16" x14ac:dyDescent="0.25">
      <c r="A2" s="1">
        <v>0</v>
      </c>
    </row>
    <row r="3" spans="1:16" x14ac:dyDescent="0.25">
      <c r="A3" s="1">
        <v>1</v>
      </c>
      <c r="B3" s="1">
        <v>0.49014429619731437</v>
      </c>
      <c r="C3" s="1">
        <f>IF(B3&lt;$L$7,$L$5,IF(B3&lt;$M$7,$M$5,IF(B3&lt;$N$7,$N$5,$O$5)))</f>
        <v>1</v>
      </c>
      <c r="D3" s="1">
        <f>MAX(0,MIN(D2+C3-$L$10,$L$9))</f>
        <v>0</v>
      </c>
      <c r="E3" s="1">
        <f>MAX(D2+C3-$L$10-$L$9,0)</f>
        <v>0</v>
      </c>
    </row>
    <row r="4" spans="1:16" ht="15.6" x14ac:dyDescent="0.3">
      <c r="A4" s="1">
        <v>2</v>
      </c>
      <c r="B4" s="1">
        <v>0.60397332297738948</v>
      </c>
      <c r="C4" s="1">
        <f t="shared" ref="C4:C67" si="0">IF(B4&lt;$L$7,$L$5,IF(B4&lt;$M$7,$M$5,IF(B4&lt;$N$7,$N$5,$O$5)))</f>
        <v>2</v>
      </c>
      <c r="D4" s="1">
        <f t="shared" ref="D4:D67" si="1">MAX(0,MIN(D3+C4-$L$10,$L$9))</f>
        <v>1</v>
      </c>
      <c r="E4" s="1">
        <f t="shared" ref="E4:E67" si="2">MAX(D3+C4-$L$10-$L$9,0)</f>
        <v>0</v>
      </c>
      <c r="K4" s="10"/>
      <c r="L4" s="10"/>
      <c r="M4" s="10"/>
      <c r="N4" s="10"/>
      <c r="O4" s="10"/>
    </row>
    <row r="5" spans="1:16" ht="15.6" x14ac:dyDescent="0.3">
      <c r="A5" s="1">
        <v>3</v>
      </c>
      <c r="B5" s="1">
        <v>0.18250199794522037</v>
      </c>
      <c r="C5" s="1">
        <f t="shared" si="0"/>
        <v>0</v>
      </c>
      <c r="D5" s="1">
        <f t="shared" si="1"/>
        <v>0</v>
      </c>
      <c r="E5" s="1">
        <f t="shared" si="2"/>
        <v>0</v>
      </c>
      <c r="K5" s="14" t="s">
        <v>36</v>
      </c>
      <c r="L5" s="10">
        <v>0</v>
      </c>
      <c r="M5" s="10">
        <v>1</v>
      </c>
      <c r="N5" s="10">
        <v>2</v>
      </c>
      <c r="O5" s="10">
        <v>3</v>
      </c>
    </row>
    <row r="6" spans="1:16" ht="15.6" x14ac:dyDescent="0.3">
      <c r="A6" s="1">
        <v>4</v>
      </c>
      <c r="B6" s="1">
        <v>0.34690957352944873</v>
      </c>
      <c r="C6" s="1">
        <f t="shared" si="0"/>
        <v>1</v>
      </c>
      <c r="D6" s="1">
        <f t="shared" si="1"/>
        <v>0</v>
      </c>
      <c r="E6" s="1">
        <f t="shared" si="2"/>
        <v>0</v>
      </c>
      <c r="K6" s="14" t="s">
        <v>37</v>
      </c>
      <c r="L6" s="10">
        <f>1/4</f>
        <v>0.25</v>
      </c>
      <c r="M6" s="10">
        <f>1/4</f>
        <v>0.25</v>
      </c>
      <c r="N6" s="10">
        <f>1/4</f>
        <v>0.25</v>
      </c>
      <c r="O6" s="10">
        <f>1/4</f>
        <v>0.25</v>
      </c>
    </row>
    <row r="7" spans="1:16" ht="15.6" x14ac:dyDescent="0.3">
      <c r="A7" s="1">
        <v>5</v>
      </c>
      <c r="B7" s="1">
        <v>0.62747538701533201</v>
      </c>
      <c r="C7" s="1">
        <f t="shared" si="0"/>
        <v>2</v>
      </c>
      <c r="D7" s="1">
        <f t="shared" si="1"/>
        <v>1</v>
      </c>
      <c r="E7" s="1">
        <f t="shared" si="2"/>
        <v>0</v>
      </c>
      <c r="K7" s="14" t="s">
        <v>38</v>
      </c>
      <c r="L7" s="10">
        <f>L6</f>
        <v>0.25</v>
      </c>
      <c r="M7" s="10">
        <f>L7+M6</f>
        <v>0.5</v>
      </c>
      <c r="N7" s="10">
        <f>M7+N6</f>
        <v>0.75</v>
      </c>
      <c r="O7" s="10">
        <f>N7+O6</f>
        <v>1</v>
      </c>
    </row>
    <row r="8" spans="1:16" x14ac:dyDescent="0.25">
      <c r="A8" s="1">
        <v>6</v>
      </c>
      <c r="B8" s="1">
        <v>0.46205973713077264</v>
      </c>
      <c r="C8" s="1">
        <f t="shared" si="0"/>
        <v>1</v>
      </c>
      <c r="D8" s="1">
        <f t="shared" si="1"/>
        <v>1</v>
      </c>
      <c r="E8" s="1">
        <f t="shared" si="2"/>
        <v>0</v>
      </c>
    </row>
    <row r="9" spans="1:16" ht="15.6" x14ac:dyDescent="0.3">
      <c r="A9" s="1">
        <v>7</v>
      </c>
      <c r="B9" s="1">
        <v>0.77741745940574281</v>
      </c>
      <c r="C9" s="1">
        <f t="shared" si="0"/>
        <v>3</v>
      </c>
      <c r="D9" s="1">
        <f t="shared" si="1"/>
        <v>3</v>
      </c>
      <c r="E9" s="1">
        <f t="shared" si="2"/>
        <v>0</v>
      </c>
      <c r="K9" s="15" t="s">
        <v>39</v>
      </c>
      <c r="L9" s="1">
        <v>4</v>
      </c>
    </row>
    <row r="10" spans="1:16" ht="15.6" x14ac:dyDescent="0.3">
      <c r="A10" s="1">
        <v>8</v>
      </c>
      <c r="B10" s="1">
        <v>7.7120543303683342E-2</v>
      </c>
      <c r="C10" s="1">
        <f t="shared" si="0"/>
        <v>0</v>
      </c>
      <c r="D10" s="1">
        <f t="shared" si="1"/>
        <v>2</v>
      </c>
      <c r="E10" s="1">
        <f t="shared" si="2"/>
        <v>0</v>
      </c>
      <c r="K10" s="15" t="s">
        <v>40</v>
      </c>
      <c r="L10" s="1">
        <v>1</v>
      </c>
      <c r="M10" s="1">
        <v>2</v>
      </c>
      <c r="N10" s="1">
        <v>3</v>
      </c>
      <c r="O10" s="1">
        <v>4</v>
      </c>
      <c r="P10" s="1">
        <v>5</v>
      </c>
    </row>
    <row r="11" spans="1:16" ht="15.6" x14ac:dyDescent="0.3">
      <c r="A11" s="1">
        <v>9</v>
      </c>
      <c r="B11" s="1">
        <v>0.66661029483400569</v>
      </c>
      <c r="C11" s="1">
        <f t="shared" si="0"/>
        <v>2</v>
      </c>
      <c r="D11" s="1">
        <f t="shared" si="1"/>
        <v>3</v>
      </c>
      <c r="E11" s="1">
        <f t="shared" si="2"/>
        <v>0</v>
      </c>
      <c r="K11" s="15" t="s">
        <v>41</v>
      </c>
      <c r="L11" s="11">
        <f>350*7*SUM($C$3:$C$482)-SUM($E$3:$E$482)-$L$13*L10</f>
        <v>1837164.11</v>
      </c>
      <c r="M11" s="11">
        <v>1832470.22</v>
      </c>
      <c r="N11" s="1">
        <v>1827505.33</v>
      </c>
    </row>
    <row r="12" spans="1:16" x14ac:dyDescent="0.25">
      <c r="A12" s="1">
        <v>10</v>
      </c>
      <c r="B12" s="1">
        <v>9.4876816509906647E-2</v>
      </c>
      <c r="C12" s="1">
        <f t="shared" si="0"/>
        <v>0</v>
      </c>
      <c r="D12" s="1">
        <f t="shared" si="1"/>
        <v>2</v>
      </c>
      <c r="E12" s="1">
        <f t="shared" si="2"/>
        <v>0</v>
      </c>
    </row>
    <row r="13" spans="1:16" ht="15.6" x14ac:dyDescent="0.3">
      <c r="A13" s="1">
        <v>11</v>
      </c>
      <c r="B13" s="1">
        <v>0.90766420705961548</v>
      </c>
      <c r="C13" s="1">
        <f t="shared" si="0"/>
        <v>3</v>
      </c>
      <c r="D13" s="1">
        <f t="shared" si="1"/>
        <v>4</v>
      </c>
      <c r="E13" s="1">
        <f t="shared" si="2"/>
        <v>0</v>
      </c>
      <c r="K13" s="10" t="s">
        <v>42</v>
      </c>
      <c r="L13" s="11">
        <v>4964.8900000000003</v>
      </c>
    </row>
    <row r="14" spans="1:16" x14ac:dyDescent="0.25">
      <c r="A14" s="1">
        <v>12</v>
      </c>
      <c r="B14" s="1">
        <v>0.43366722920365353</v>
      </c>
      <c r="C14" s="1">
        <f t="shared" si="0"/>
        <v>1</v>
      </c>
      <c r="D14" s="1">
        <f t="shared" si="1"/>
        <v>4</v>
      </c>
      <c r="E14" s="1">
        <f t="shared" si="2"/>
        <v>0</v>
      </c>
    </row>
    <row r="15" spans="1:16" x14ac:dyDescent="0.25">
      <c r="A15" s="1">
        <v>13</v>
      </c>
      <c r="B15" s="1">
        <v>0.62480034725884981</v>
      </c>
      <c r="C15" s="1">
        <f t="shared" si="0"/>
        <v>2</v>
      </c>
      <c r="D15" s="1">
        <f t="shared" si="1"/>
        <v>4</v>
      </c>
      <c r="E15" s="1">
        <f t="shared" si="2"/>
        <v>1</v>
      </c>
    </row>
    <row r="16" spans="1:16" x14ac:dyDescent="0.25">
      <c r="A16" s="1">
        <v>14</v>
      </c>
      <c r="B16" s="1">
        <v>0.51086581019124666</v>
      </c>
      <c r="C16" s="1">
        <f t="shared" si="0"/>
        <v>2</v>
      </c>
      <c r="D16" s="1">
        <f t="shared" si="1"/>
        <v>4</v>
      </c>
      <c r="E16" s="1">
        <f t="shared" si="2"/>
        <v>1</v>
      </c>
    </row>
    <row r="17" spans="1:5" x14ac:dyDescent="0.25">
      <c r="A17" s="1">
        <v>15</v>
      </c>
      <c r="B17" s="1">
        <v>0.19248195037302041</v>
      </c>
      <c r="C17" s="1">
        <f t="shared" si="0"/>
        <v>0</v>
      </c>
      <c r="D17" s="1">
        <f t="shared" si="1"/>
        <v>3</v>
      </c>
      <c r="E17" s="1">
        <f t="shared" si="2"/>
        <v>0</v>
      </c>
    </row>
    <row r="18" spans="1:5" x14ac:dyDescent="0.25">
      <c r="A18" s="1">
        <v>16</v>
      </c>
      <c r="B18" s="1">
        <v>0.59762050332668581</v>
      </c>
      <c r="C18" s="1">
        <f t="shared" si="0"/>
        <v>2</v>
      </c>
      <c r="D18" s="1">
        <f t="shared" si="1"/>
        <v>4</v>
      </c>
      <c r="E18" s="1">
        <f t="shared" si="2"/>
        <v>0</v>
      </c>
    </row>
    <row r="19" spans="1:5" x14ac:dyDescent="0.25">
      <c r="A19" s="1">
        <v>17</v>
      </c>
      <c r="B19" s="1">
        <v>0.76495147329914159</v>
      </c>
      <c r="C19" s="1">
        <f t="shared" si="0"/>
        <v>3</v>
      </c>
      <c r="D19" s="1">
        <f t="shared" si="1"/>
        <v>4</v>
      </c>
      <c r="E19" s="1">
        <f t="shared" si="2"/>
        <v>2</v>
      </c>
    </row>
    <row r="20" spans="1:5" x14ac:dyDescent="0.25">
      <c r="A20" s="1">
        <v>18</v>
      </c>
      <c r="B20" s="1">
        <v>0.27621849901612616</v>
      </c>
      <c r="C20" s="1">
        <f t="shared" si="0"/>
        <v>1</v>
      </c>
      <c r="D20" s="1">
        <f t="shared" si="1"/>
        <v>4</v>
      </c>
      <c r="E20" s="1">
        <f t="shared" si="2"/>
        <v>0</v>
      </c>
    </row>
    <row r="21" spans="1:5" x14ac:dyDescent="0.25">
      <c r="A21" s="1">
        <v>19</v>
      </c>
      <c r="B21" s="1">
        <v>0.31401572606315609</v>
      </c>
      <c r="C21" s="1">
        <f t="shared" si="0"/>
        <v>1</v>
      </c>
      <c r="D21" s="1">
        <f t="shared" si="1"/>
        <v>4</v>
      </c>
      <c r="E21" s="1">
        <f t="shared" si="2"/>
        <v>0</v>
      </c>
    </row>
    <row r="22" spans="1:5" x14ac:dyDescent="0.25">
      <c r="A22" s="1">
        <v>20</v>
      </c>
      <c r="B22" s="1">
        <v>0.75920111855209971</v>
      </c>
      <c r="C22" s="1">
        <f t="shared" si="0"/>
        <v>3</v>
      </c>
      <c r="D22" s="1">
        <f t="shared" si="1"/>
        <v>4</v>
      </c>
      <c r="E22" s="1">
        <f t="shared" si="2"/>
        <v>2</v>
      </c>
    </row>
    <row r="23" spans="1:5" x14ac:dyDescent="0.25">
      <c r="A23" s="1">
        <v>21</v>
      </c>
      <c r="B23" s="1">
        <v>0.99983786983958023</v>
      </c>
      <c r="C23" s="1">
        <f t="shared" si="0"/>
        <v>3</v>
      </c>
      <c r="D23" s="1">
        <f t="shared" si="1"/>
        <v>4</v>
      </c>
      <c r="E23" s="1">
        <f t="shared" si="2"/>
        <v>2</v>
      </c>
    </row>
    <row r="24" spans="1:5" x14ac:dyDescent="0.25">
      <c r="A24" s="1">
        <v>22</v>
      </c>
      <c r="B24" s="1">
        <v>0.68998470731647599</v>
      </c>
      <c r="C24" s="1">
        <f t="shared" si="0"/>
        <v>2</v>
      </c>
      <c r="D24" s="1">
        <f t="shared" si="1"/>
        <v>4</v>
      </c>
      <c r="E24" s="1">
        <f t="shared" si="2"/>
        <v>1</v>
      </c>
    </row>
    <row r="25" spans="1:5" x14ac:dyDescent="0.25">
      <c r="A25" s="1">
        <v>23</v>
      </c>
      <c r="B25" s="1">
        <v>0.5634161528836521</v>
      </c>
      <c r="C25" s="1">
        <f t="shared" si="0"/>
        <v>2</v>
      </c>
      <c r="D25" s="1">
        <f t="shared" si="1"/>
        <v>4</v>
      </c>
      <c r="E25" s="1">
        <f t="shared" si="2"/>
        <v>1</v>
      </c>
    </row>
    <row r="26" spans="1:5" x14ac:dyDescent="0.25">
      <c r="A26" s="1">
        <v>24</v>
      </c>
      <c r="B26" s="1">
        <v>0.34953369787967814</v>
      </c>
      <c r="C26" s="1">
        <f t="shared" si="0"/>
        <v>1</v>
      </c>
      <c r="D26" s="1">
        <f t="shared" si="1"/>
        <v>4</v>
      </c>
      <c r="E26" s="1">
        <f t="shared" si="2"/>
        <v>0</v>
      </c>
    </row>
    <row r="27" spans="1:5" x14ac:dyDescent="0.25">
      <c r="A27" s="1">
        <v>25</v>
      </c>
      <c r="B27" s="1">
        <v>0.18647891877758394</v>
      </c>
      <c r="C27" s="1">
        <f t="shared" si="0"/>
        <v>0</v>
      </c>
      <c r="D27" s="1">
        <f t="shared" si="1"/>
        <v>3</v>
      </c>
      <c r="E27" s="1">
        <f t="shared" si="2"/>
        <v>0</v>
      </c>
    </row>
    <row r="28" spans="1:5" x14ac:dyDescent="0.25">
      <c r="A28" s="1">
        <v>26</v>
      </c>
      <c r="B28" s="1">
        <v>0.94820362480207465</v>
      </c>
      <c r="C28" s="1">
        <f t="shared" si="0"/>
        <v>3</v>
      </c>
      <c r="D28" s="1">
        <f t="shared" si="1"/>
        <v>4</v>
      </c>
      <c r="E28" s="1">
        <f t="shared" si="2"/>
        <v>1</v>
      </c>
    </row>
    <row r="29" spans="1:5" x14ac:dyDescent="0.25">
      <c r="A29" s="1">
        <v>27</v>
      </c>
      <c r="B29" s="1">
        <v>0.35261980159333217</v>
      </c>
      <c r="C29" s="1">
        <f t="shared" si="0"/>
        <v>1</v>
      </c>
      <c r="D29" s="1">
        <f t="shared" si="1"/>
        <v>4</v>
      </c>
      <c r="E29" s="1">
        <f t="shared" si="2"/>
        <v>0</v>
      </c>
    </row>
    <row r="30" spans="1:5" x14ac:dyDescent="0.25">
      <c r="A30" s="1">
        <v>28</v>
      </c>
      <c r="B30" s="1">
        <v>5.0445077623176626E-2</v>
      </c>
      <c r="C30" s="1">
        <f t="shared" si="0"/>
        <v>0</v>
      </c>
      <c r="D30" s="1">
        <f t="shared" si="1"/>
        <v>3</v>
      </c>
      <c r="E30" s="1">
        <f t="shared" si="2"/>
        <v>0</v>
      </c>
    </row>
    <row r="31" spans="1:5" x14ac:dyDescent="0.25">
      <c r="A31" s="1">
        <v>29</v>
      </c>
      <c r="B31" s="1">
        <v>0.58741740464912218</v>
      </c>
      <c r="C31" s="1">
        <f t="shared" si="0"/>
        <v>2</v>
      </c>
      <c r="D31" s="1">
        <f t="shared" si="1"/>
        <v>4</v>
      </c>
      <c r="E31" s="1">
        <f t="shared" si="2"/>
        <v>0</v>
      </c>
    </row>
    <row r="32" spans="1:5" x14ac:dyDescent="0.25">
      <c r="A32" s="1">
        <v>30</v>
      </c>
      <c r="B32" s="1">
        <v>0.7943619326182243</v>
      </c>
      <c r="C32" s="1">
        <f t="shared" si="0"/>
        <v>3</v>
      </c>
      <c r="D32" s="1">
        <f t="shared" si="1"/>
        <v>4</v>
      </c>
      <c r="E32" s="1">
        <f t="shared" si="2"/>
        <v>2</v>
      </c>
    </row>
    <row r="33" spans="1:5" x14ac:dyDescent="0.25">
      <c r="A33" s="1">
        <v>31</v>
      </c>
      <c r="B33" s="1">
        <v>0.11223834971788549</v>
      </c>
      <c r="C33" s="1">
        <f t="shared" si="0"/>
        <v>0</v>
      </c>
      <c r="D33" s="1">
        <f t="shared" si="1"/>
        <v>3</v>
      </c>
      <c r="E33" s="1">
        <f t="shared" si="2"/>
        <v>0</v>
      </c>
    </row>
    <row r="34" spans="1:5" x14ac:dyDescent="0.25">
      <c r="A34" s="1">
        <v>32</v>
      </c>
      <c r="B34" s="1">
        <v>0.56401495173431693</v>
      </c>
      <c r="C34" s="1">
        <f t="shared" si="0"/>
        <v>2</v>
      </c>
      <c r="D34" s="1">
        <f t="shared" si="1"/>
        <v>4</v>
      </c>
      <c r="E34" s="1">
        <f t="shared" si="2"/>
        <v>0</v>
      </c>
    </row>
    <row r="35" spans="1:5" x14ac:dyDescent="0.25">
      <c r="A35" s="1">
        <v>33</v>
      </c>
      <c r="B35" s="1">
        <v>0.79115428108431451</v>
      </c>
      <c r="C35" s="1">
        <f t="shared" si="0"/>
        <v>3</v>
      </c>
      <c r="D35" s="1">
        <f t="shared" si="1"/>
        <v>4</v>
      </c>
      <c r="E35" s="1">
        <f t="shared" si="2"/>
        <v>2</v>
      </c>
    </row>
    <row r="36" spans="1:5" x14ac:dyDescent="0.25">
      <c r="A36" s="1">
        <v>34</v>
      </c>
      <c r="B36" s="1">
        <v>0.62417834247125392</v>
      </c>
      <c r="C36" s="1">
        <f t="shared" si="0"/>
        <v>2</v>
      </c>
      <c r="D36" s="1">
        <f t="shared" si="1"/>
        <v>4</v>
      </c>
      <c r="E36" s="1">
        <f t="shared" si="2"/>
        <v>1</v>
      </c>
    </row>
    <row r="37" spans="1:5" x14ac:dyDescent="0.25">
      <c r="A37" s="1">
        <v>35</v>
      </c>
      <c r="B37" s="1">
        <v>0.36923720706111529</v>
      </c>
      <c r="C37" s="1">
        <f t="shared" si="0"/>
        <v>1</v>
      </c>
      <c r="D37" s="1">
        <f t="shared" si="1"/>
        <v>4</v>
      </c>
      <c r="E37" s="1">
        <f t="shared" si="2"/>
        <v>0</v>
      </c>
    </row>
    <row r="38" spans="1:5" x14ac:dyDescent="0.25">
      <c r="A38" s="1">
        <v>36</v>
      </c>
      <c r="B38" s="1">
        <v>0.5622321709052952</v>
      </c>
      <c r="C38" s="1">
        <f t="shared" si="0"/>
        <v>2</v>
      </c>
      <c r="D38" s="1">
        <f t="shared" si="1"/>
        <v>4</v>
      </c>
      <c r="E38" s="1">
        <f t="shared" si="2"/>
        <v>1</v>
      </c>
    </row>
    <row r="39" spans="1:5" x14ac:dyDescent="0.25">
      <c r="A39" s="1">
        <v>37</v>
      </c>
      <c r="B39" s="1">
        <v>0.45294145047371481</v>
      </c>
      <c r="C39" s="1">
        <f t="shared" si="0"/>
        <v>1</v>
      </c>
      <c r="D39" s="1">
        <f t="shared" si="1"/>
        <v>4</v>
      </c>
      <c r="E39" s="1">
        <f t="shared" si="2"/>
        <v>0</v>
      </c>
    </row>
    <row r="40" spans="1:5" x14ac:dyDescent="0.25">
      <c r="A40" s="1">
        <v>38</v>
      </c>
      <c r="B40" s="1">
        <v>0.74367163572857542</v>
      </c>
      <c r="C40" s="1">
        <f t="shared" si="0"/>
        <v>2</v>
      </c>
      <c r="D40" s="1">
        <f t="shared" si="1"/>
        <v>4</v>
      </c>
      <c r="E40" s="1">
        <f t="shared" si="2"/>
        <v>1</v>
      </c>
    </row>
    <row r="41" spans="1:5" x14ac:dyDescent="0.25">
      <c r="A41" s="1">
        <v>39</v>
      </c>
      <c r="B41" s="1">
        <v>0.97476403194705641</v>
      </c>
      <c r="C41" s="1">
        <f t="shared" si="0"/>
        <v>3</v>
      </c>
      <c r="D41" s="1">
        <f t="shared" si="1"/>
        <v>4</v>
      </c>
      <c r="E41" s="1">
        <f t="shared" si="2"/>
        <v>2</v>
      </c>
    </row>
    <row r="42" spans="1:5" x14ac:dyDescent="0.25">
      <c r="A42" s="1">
        <v>40</v>
      </c>
      <c r="B42" s="1">
        <v>0.60180004339315474</v>
      </c>
      <c r="C42" s="1">
        <f t="shared" si="0"/>
        <v>2</v>
      </c>
      <c r="D42" s="1">
        <f t="shared" si="1"/>
        <v>4</v>
      </c>
      <c r="E42" s="1">
        <f t="shared" si="2"/>
        <v>1</v>
      </c>
    </row>
    <row r="43" spans="1:5" x14ac:dyDescent="0.25">
      <c r="A43" s="1">
        <v>41</v>
      </c>
      <c r="B43" s="1">
        <v>0.94640546502200285</v>
      </c>
      <c r="C43" s="1">
        <f t="shared" si="0"/>
        <v>3</v>
      </c>
      <c r="D43" s="1">
        <f t="shared" si="1"/>
        <v>4</v>
      </c>
      <c r="E43" s="1">
        <f t="shared" si="2"/>
        <v>2</v>
      </c>
    </row>
    <row r="44" spans="1:5" x14ac:dyDescent="0.25">
      <c r="A44" s="1">
        <v>42</v>
      </c>
      <c r="B44" s="1">
        <v>0.24737686822645433</v>
      </c>
      <c r="C44" s="1">
        <f t="shared" si="0"/>
        <v>0</v>
      </c>
      <c r="D44" s="1">
        <f t="shared" si="1"/>
        <v>3</v>
      </c>
      <c r="E44" s="1">
        <f t="shared" si="2"/>
        <v>0</v>
      </c>
    </row>
    <row r="45" spans="1:5" x14ac:dyDescent="0.25">
      <c r="A45" s="1">
        <v>43</v>
      </c>
      <c r="B45" s="1">
        <v>4.0855033066383162E-2</v>
      </c>
      <c r="C45" s="1">
        <f t="shared" si="0"/>
        <v>0</v>
      </c>
      <c r="D45" s="1">
        <f t="shared" si="1"/>
        <v>2</v>
      </c>
      <c r="E45" s="1">
        <f t="shared" si="2"/>
        <v>0</v>
      </c>
    </row>
    <row r="46" spans="1:5" x14ac:dyDescent="0.25">
      <c r="A46" s="1">
        <v>44</v>
      </c>
      <c r="B46" s="1">
        <v>0.28589758555532185</v>
      </c>
      <c r="C46" s="1">
        <f t="shared" si="0"/>
        <v>1</v>
      </c>
      <c r="D46" s="1">
        <f t="shared" si="1"/>
        <v>2</v>
      </c>
      <c r="E46" s="1">
        <f t="shared" si="2"/>
        <v>0</v>
      </c>
    </row>
    <row r="47" spans="1:5" x14ac:dyDescent="0.25">
      <c r="A47" s="1">
        <v>45</v>
      </c>
      <c r="B47" s="1">
        <v>0.89442909623041589</v>
      </c>
      <c r="C47" s="1">
        <f t="shared" si="0"/>
        <v>3</v>
      </c>
      <c r="D47" s="1">
        <f t="shared" si="1"/>
        <v>4</v>
      </c>
      <c r="E47" s="1">
        <f t="shared" si="2"/>
        <v>0</v>
      </c>
    </row>
    <row r="48" spans="1:5" x14ac:dyDescent="0.25">
      <c r="A48" s="1">
        <v>46</v>
      </c>
      <c r="B48" s="1">
        <v>0.50738504073563495</v>
      </c>
      <c r="C48" s="1">
        <f t="shared" si="0"/>
        <v>2</v>
      </c>
      <c r="D48" s="1">
        <f t="shared" si="1"/>
        <v>4</v>
      </c>
      <c r="E48" s="1">
        <f t="shared" si="2"/>
        <v>1</v>
      </c>
    </row>
    <row r="49" spans="1:5" x14ac:dyDescent="0.25">
      <c r="A49" s="1">
        <v>47</v>
      </c>
      <c r="B49" s="1">
        <v>0.95091032046117085</v>
      </c>
      <c r="C49" s="1">
        <f t="shared" si="0"/>
        <v>3</v>
      </c>
      <c r="D49" s="1">
        <f t="shared" si="1"/>
        <v>4</v>
      </c>
      <c r="E49" s="1">
        <f t="shared" si="2"/>
        <v>2</v>
      </c>
    </row>
    <row r="50" spans="1:5" x14ac:dyDescent="0.25">
      <c r="A50" s="1">
        <v>48</v>
      </c>
      <c r="B50" s="1">
        <v>8.0535960428558484E-2</v>
      </c>
      <c r="C50" s="1">
        <f t="shared" si="0"/>
        <v>0</v>
      </c>
      <c r="D50" s="1">
        <f t="shared" si="1"/>
        <v>3</v>
      </c>
      <c r="E50" s="1">
        <f t="shared" si="2"/>
        <v>0</v>
      </c>
    </row>
    <row r="51" spans="1:5" x14ac:dyDescent="0.25">
      <c r="A51" s="1">
        <v>49</v>
      </c>
      <c r="B51" s="1">
        <v>0.82388755392658464</v>
      </c>
      <c r="C51" s="1">
        <f t="shared" si="0"/>
        <v>3</v>
      </c>
      <c r="D51" s="1">
        <f t="shared" si="1"/>
        <v>4</v>
      </c>
      <c r="E51" s="1">
        <f t="shared" si="2"/>
        <v>1</v>
      </c>
    </row>
    <row r="52" spans="1:5" x14ac:dyDescent="0.25">
      <c r="A52" s="1">
        <v>50</v>
      </c>
      <c r="B52" s="1">
        <v>0.48478718501880713</v>
      </c>
      <c r="C52" s="1">
        <f t="shared" si="0"/>
        <v>1</v>
      </c>
      <c r="D52" s="1">
        <f t="shared" si="1"/>
        <v>4</v>
      </c>
      <c r="E52" s="1">
        <f t="shared" si="2"/>
        <v>0</v>
      </c>
    </row>
    <row r="53" spans="1:5" x14ac:dyDescent="0.25">
      <c r="A53" s="1">
        <v>51</v>
      </c>
      <c r="B53" s="1">
        <v>0.67158769320352807</v>
      </c>
      <c r="C53" s="1">
        <f t="shared" si="0"/>
        <v>2</v>
      </c>
      <c r="D53" s="1">
        <f t="shared" si="1"/>
        <v>4</v>
      </c>
      <c r="E53" s="1">
        <f t="shared" si="2"/>
        <v>1</v>
      </c>
    </row>
    <row r="54" spans="1:5" x14ac:dyDescent="0.25">
      <c r="A54" s="1">
        <v>52</v>
      </c>
      <c r="B54" s="1">
        <v>0.33970196476222525</v>
      </c>
      <c r="C54" s="1">
        <f t="shared" si="0"/>
        <v>1</v>
      </c>
      <c r="D54" s="1">
        <f t="shared" si="1"/>
        <v>4</v>
      </c>
      <c r="E54" s="1">
        <f t="shared" si="2"/>
        <v>0</v>
      </c>
    </row>
    <row r="55" spans="1:5" x14ac:dyDescent="0.25">
      <c r="A55" s="1">
        <v>53</v>
      </c>
      <c r="B55" s="1">
        <v>0.70459658982390228</v>
      </c>
      <c r="C55" s="1">
        <f t="shared" si="0"/>
        <v>2</v>
      </c>
      <c r="D55" s="1">
        <f t="shared" si="1"/>
        <v>4</v>
      </c>
      <c r="E55" s="1">
        <f t="shared" si="2"/>
        <v>1</v>
      </c>
    </row>
    <row r="56" spans="1:5" x14ac:dyDescent="0.25">
      <c r="A56" s="1">
        <v>54</v>
      </c>
      <c r="B56" s="1">
        <v>0.51406639073780214</v>
      </c>
      <c r="C56" s="1">
        <f t="shared" si="0"/>
        <v>2</v>
      </c>
      <c r="D56" s="1">
        <f t="shared" si="1"/>
        <v>4</v>
      </c>
      <c r="E56" s="1">
        <f t="shared" si="2"/>
        <v>1</v>
      </c>
    </row>
    <row r="57" spans="1:5" x14ac:dyDescent="0.25">
      <c r="A57" s="1">
        <v>55</v>
      </c>
      <c r="B57" s="1">
        <v>0.92424913179255896</v>
      </c>
      <c r="C57" s="1">
        <f t="shared" si="0"/>
        <v>3</v>
      </c>
      <c r="D57" s="1">
        <f t="shared" si="1"/>
        <v>4</v>
      </c>
      <c r="E57" s="1">
        <f t="shared" si="2"/>
        <v>2</v>
      </c>
    </row>
    <row r="58" spans="1:5" x14ac:dyDescent="0.25">
      <c r="A58" s="1">
        <v>56</v>
      </c>
      <c r="B58" s="1">
        <v>0.72844713007932749</v>
      </c>
      <c r="C58" s="1">
        <f t="shared" si="0"/>
        <v>2</v>
      </c>
      <c r="D58" s="1">
        <f t="shared" si="1"/>
        <v>4</v>
      </c>
      <c r="E58" s="1">
        <f t="shared" si="2"/>
        <v>1</v>
      </c>
    </row>
    <row r="59" spans="1:5" x14ac:dyDescent="0.25">
      <c r="A59" s="1">
        <v>57</v>
      </c>
      <c r="B59" s="1">
        <v>0.83409304825794117</v>
      </c>
      <c r="C59" s="1">
        <f t="shared" si="0"/>
        <v>3</v>
      </c>
      <c r="D59" s="1">
        <f t="shared" si="1"/>
        <v>4</v>
      </c>
      <c r="E59" s="1">
        <f t="shared" si="2"/>
        <v>2</v>
      </c>
    </row>
    <row r="60" spans="1:5" x14ac:dyDescent="0.25">
      <c r="A60" s="1">
        <v>58</v>
      </c>
      <c r="B60" s="1">
        <v>0.50643434766159934</v>
      </c>
      <c r="C60" s="1">
        <f t="shared" si="0"/>
        <v>2</v>
      </c>
      <c r="D60" s="1">
        <f t="shared" si="1"/>
        <v>4</v>
      </c>
      <c r="E60" s="1">
        <f t="shared" si="2"/>
        <v>1</v>
      </c>
    </row>
    <row r="61" spans="1:5" x14ac:dyDescent="0.25">
      <c r="A61" s="1">
        <v>59</v>
      </c>
      <c r="B61" s="1">
        <v>0.99135818940961984</v>
      </c>
      <c r="C61" s="1">
        <f t="shared" si="0"/>
        <v>3</v>
      </c>
      <c r="D61" s="1">
        <f t="shared" si="1"/>
        <v>4</v>
      </c>
      <c r="E61" s="1">
        <f t="shared" si="2"/>
        <v>2</v>
      </c>
    </row>
    <row r="62" spans="1:5" x14ac:dyDescent="0.25">
      <c r="A62" s="1">
        <v>60</v>
      </c>
      <c r="B62" s="1">
        <v>0.14977963907830083</v>
      </c>
      <c r="C62" s="1">
        <f t="shared" si="0"/>
        <v>0</v>
      </c>
      <c r="D62" s="1">
        <f t="shared" si="1"/>
        <v>3</v>
      </c>
      <c r="E62" s="1">
        <f t="shared" si="2"/>
        <v>0</v>
      </c>
    </row>
    <row r="63" spans="1:5" x14ac:dyDescent="0.25">
      <c r="A63" s="1">
        <v>61</v>
      </c>
      <c r="B63" s="1">
        <v>0.75603368933273774</v>
      </c>
      <c r="C63" s="1">
        <f t="shared" si="0"/>
        <v>3</v>
      </c>
      <c r="D63" s="1">
        <f t="shared" si="1"/>
        <v>4</v>
      </c>
      <c r="E63" s="1">
        <f t="shared" si="2"/>
        <v>1</v>
      </c>
    </row>
    <row r="64" spans="1:5" x14ac:dyDescent="0.25">
      <c r="A64" s="1">
        <v>62</v>
      </c>
      <c r="B64" s="1">
        <v>0.65716936972084306</v>
      </c>
      <c r="C64" s="1">
        <f t="shared" si="0"/>
        <v>2</v>
      </c>
      <c r="D64" s="1">
        <f t="shared" si="1"/>
        <v>4</v>
      </c>
      <c r="E64" s="1">
        <f t="shared" si="2"/>
        <v>1</v>
      </c>
    </row>
    <row r="65" spans="1:5" x14ac:dyDescent="0.25">
      <c r="A65" s="1">
        <v>63</v>
      </c>
      <c r="B65" s="1">
        <v>0.26462657368944431</v>
      </c>
      <c r="C65" s="1">
        <f t="shared" si="0"/>
        <v>1</v>
      </c>
      <c r="D65" s="1">
        <f t="shared" si="1"/>
        <v>4</v>
      </c>
      <c r="E65" s="1">
        <f t="shared" si="2"/>
        <v>0</v>
      </c>
    </row>
    <row r="66" spans="1:5" x14ac:dyDescent="0.25">
      <c r="A66" s="1">
        <v>64</v>
      </c>
      <c r="B66" s="1">
        <v>0.99009144813281935</v>
      </c>
      <c r="C66" s="1">
        <f t="shared" si="0"/>
        <v>3</v>
      </c>
      <c r="D66" s="1">
        <f t="shared" si="1"/>
        <v>4</v>
      </c>
      <c r="E66" s="1">
        <f t="shared" si="2"/>
        <v>2</v>
      </c>
    </row>
    <row r="67" spans="1:5" x14ac:dyDescent="0.25">
      <c r="A67" s="1">
        <v>65</v>
      </c>
      <c r="B67" s="1">
        <v>0.32232557792799232</v>
      </c>
      <c r="C67" s="1">
        <f t="shared" si="0"/>
        <v>1</v>
      </c>
      <c r="D67" s="1">
        <f t="shared" si="1"/>
        <v>4</v>
      </c>
      <c r="E67" s="1">
        <f t="shared" si="2"/>
        <v>0</v>
      </c>
    </row>
    <row r="68" spans="1:5" x14ac:dyDescent="0.25">
      <c r="A68" s="1">
        <v>66</v>
      </c>
      <c r="B68" s="1">
        <v>0.71565542469406218</v>
      </c>
      <c r="C68" s="1">
        <f t="shared" ref="C68:C131" si="3">IF(B68&lt;$L$7,$L$5,IF(B68&lt;$M$7,$M$5,IF(B68&lt;$N$7,$N$5,$O$5)))</f>
        <v>2</v>
      </c>
      <c r="D68" s="1">
        <f t="shared" ref="D68:D131" si="4">MAX(0,MIN(D67+C68-$L$10,$L$9))</f>
        <v>4</v>
      </c>
      <c r="E68" s="1">
        <f t="shared" ref="E68:E131" si="5">MAX(D67+C68-$L$10-$L$9,0)</f>
        <v>1</v>
      </c>
    </row>
    <row r="69" spans="1:5" x14ac:dyDescent="0.25">
      <c r="A69" s="1">
        <v>67</v>
      </c>
      <c r="B69" s="1">
        <v>9.7372377129970156E-2</v>
      </c>
      <c r="C69" s="1">
        <f t="shared" si="3"/>
        <v>0</v>
      </c>
      <c r="D69" s="1">
        <f t="shared" si="4"/>
        <v>3</v>
      </c>
      <c r="E69" s="1">
        <f t="shared" si="5"/>
        <v>0</v>
      </c>
    </row>
    <row r="70" spans="1:5" x14ac:dyDescent="0.25">
      <c r="A70" s="1">
        <v>68</v>
      </c>
      <c r="B70" s="1">
        <v>0.37185665991936045</v>
      </c>
      <c r="C70" s="1">
        <f t="shared" si="3"/>
        <v>1</v>
      </c>
      <c r="D70" s="1">
        <f t="shared" si="4"/>
        <v>3</v>
      </c>
      <c r="E70" s="1">
        <f t="shared" si="5"/>
        <v>0</v>
      </c>
    </row>
    <row r="71" spans="1:5" x14ac:dyDescent="0.25">
      <c r="A71" s="1">
        <v>69</v>
      </c>
      <c r="B71" s="1">
        <v>0.55549801086692185</v>
      </c>
      <c r="C71" s="1">
        <f t="shared" si="3"/>
        <v>2</v>
      </c>
      <c r="D71" s="1">
        <f t="shared" si="4"/>
        <v>4</v>
      </c>
      <c r="E71" s="1">
        <f t="shared" si="5"/>
        <v>0</v>
      </c>
    </row>
    <row r="72" spans="1:5" x14ac:dyDescent="0.25">
      <c r="A72" s="1">
        <v>70</v>
      </c>
      <c r="B72" s="1">
        <v>0.42118695876035062</v>
      </c>
      <c r="C72" s="1">
        <f t="shared" si="3"/>
        <v>1</v>
      </c>
      <c r="D72" s="1">
        <f t="shared" si="4"/>
        <v>4</v>
      </c>
      <c r="E72" s="1">
        <f t="shared" si="5"/>
        <v>0</v>
      </c>
    </row>
    <row r="73" spans="1:5" x14ac:dyDescent="0.25">
      <c r="A73" s="1">
        <v>71</v>
      </c>
      <c r="B73" s="1">
        <v>0.85314980007384145</v>
      </c>
      <c r="C73" s="1">
        <f t="shared" si="3"/>
        <v>3</v>
      </c>
      <c r="D73" s="1">
        <f t="shared" si="4"/>
        <v>4</v>
      </c>
      <c r="E73" s="1">
        <f t="shared" si="5"/>
        <v>2</v>
      </c>
    </row>
    <row r="74" spans="1:5" x14ac:dyDescent="0.25">
      <c r="A74" s="1">
        <v>72</v>
      </c>
      <c r="B74" s="1">
        <v>0.80704033119356577</v>
      </c>
      <c r="C74" s="1">
        <f t="shared" si="3"/>
        <v>3</v>
      </c>
      <c r="D74" s="1">
        <f t="shared" si="4"/>
        <v>4</v>
      </c>
      <c r="E74" s="1">
        <f t="shared" si="5"/>
        <v>2</v>
      </c>
    </row>
    <row r="75" spans="1:5" x14ac:dyDescent="0.25">
      <c r="A75" s="1">
        <v>73</v>
      </c>
      <c r="B75" s="1">
        <v>0.32243777297889953</v>
      </c>
      <c r="C75" s="1">
        <f t="shared" si="3"/>
        <v>1</v>
      </c>
      <c r="D75" s="1">
        <f t="shared" si="4"/>
        <v>4</v>
      </c>
      <c r="E75" s="1">
        <f t="shared" si="5"/>
        <v>0</v>
      </c>
    </row>
    <row r="76" spans="1:5" x14ac:dyDescent="0.25">
      <c r="A76" s="1">
        <v>74</v>
      </c>
      <c r="B76" s="1">
        <v>0.1799003356596548</v>
      </c>
      <c r="C76" s="1">
        <f t="shared" si="3"/>
        <v>0</v>
      </c>
      <c r="D76" s="1">
        <f t="shared" si="4"/>
        <v>3</v>
      </c>
      <c r="E76" s="1">
        <f t="shared" si="5"/>
        <v>0</v>
      </c>
    </row>
    <row r="77" spans="1:5" x14ac:dyDescent="0.25">
      <c r="A77" s="1">
        <v>75</v>
      </c>
      <c r="B77" s="1">
        <v>0.45173398782326868</v>
      </c>
      <c r="C77" s="1">
        <f t="shared" si="3"/>
        <v>1</v>
      </c>
      <c r="D77" s="1">
        <f t="shared" si="4"/>
        <v>3</v>
      </c>
      <c r="E77" s="1">
        <f t="shared" si="5"/>
        <v>0</v>
      </c>
    </row>
    <row r="78" spans="1:5" x14ac:dyDescent="0.25">
      <c r="A78" s="1">
        <v>76</v>
      </c>
      <c r="B78" s="1">
        <v>0.55695836485842465</v>
      </c>
      <c r="C78" s="1">
        <f t="shared" si="3"/>
        <v>2</v>
      </c>
      <c r="D78" s="1">
        <f t="shared" si="4"/>
        <v>4</v>
      </c>
      <c r="E78" s="1">
        <f t="shared" si="5"/>
        <v>0</v>
      </c>
    </row>
    <row r="79" spans="1:5" x14ac:dyDescent="0.25">
      <c r="A79" s="1">
        <v>77</v>
      </c>
      <c r="B79" s="1">
        <v>0.41912678789258384</v>
      </c>
      <c r="C79" s="1">
        <f t="shared" si="3"/>
        <v>1</v>
      </c>
      <c r="D79" s="1">
        <f t="shared" si="4"/>
        <v>4</v>
      </c>
      <c r="E79" s="1">
        <f t="shared" si="5"/>
        <v>0</v>
      </c>
    </row>
    <row r="80" spans="1:5" x14ac:dyDescent="0.25">
      <c r="A80" s="1">
        <v>78</v>
      </c>
      <c r="B80" s="1">
        <v>0.40489023855661721</v>
      </c>
      <c r="C80" s="1">
        <f t="shared" si="3"/>
        <v>1</v>
      </c>
      <c r="D80" s="1">
        <f t="shared" si="4"/>
        <v>4</v>
      </c>
      <c r="E80" s="1">
        <f t="shared" si="5"/>
        <v>0</v>
      </c>
    </row>
    <row r="81" spans="1:5" x14ac:dyDescent="0.25">
      <c r="A81" s="1">
        <v>79</v>
      </c>
      <c r="B81" s="1">
        <v>0.8174879239589965</v>
      </c>
      <c r="C81" s="1">
        <f t="shared" si="3"/>
        <v>3</v>
      </c>
      <c r="D81" s="1">
        <f t="shared" si="4"/>
        <v>4</v>
      </c>
      <c r="E81" s="1">
        <f t="shared" si="5"/>
        <v>2</v>
      </c>
    </row>
    <row r="82" spans="1:5" x14ac:dyDescent="0.25">
      <c r="A82" s="1">
        <v>80</v>
      </c>
      <c r="B82" s="1">
        <v>0.27791172657714958</v>
      </c>
      <c r="C82" s="1">
        <f t="shared" si="3"/>
        <v>1</v>
      </c>
      <c r="D82" s="1">
        <f t="shared" si="4"/>
        <v>4</v>
      </c>
      <c r="E82" s="1">
        <f t="shared" si="5"/>
        <v>0</v>
      </c>
    </row>
    <row r="83" spans="1:5" x14ac:dyDescent="0.25">
      <c r="A83" s="1">
        <v>81</v>
      </c>
      <c r="B83" s="1">
        <v>0.43258698650482441</v>
      </c>
      <c r="C83" s="1">
        <f t="shared" si="3"/>
        <v>1</v>
      </c>
      <c r="D83" s="1">
        <f t="shared" si="4"/>
        <v>4</v>
      </c>
      <c r="E83" s="1">
        <f t="shared" si="5"/>
        <v>0</v>
      </c>
    </row>
    <row r="84" spans="1:5" x14ac:dyDescent="0.25">
      <c r="A84" s="1">
        <v>82</v>
      </c>
      <c r="B84" s="1">
        <v>0.14532907049496513</v>
      </c>
      <c r="C84" s="1">
        <f t="shared" si="3"/>
        <v>0</v>
      </c>
      <c r="D84" s="1">
        <f t="shared" si="4"/>
        <v>3</v>
      </c>
      <c r="E84" s="1">
        <f t="shared" si="5"/>
        <v>0</v>
      </c>
    </row>
    <row r="85" spans="1:5" x14ac:dyDescent="0.25">
      <c r="A85" s="1">
        <v>83</v>
      </c>
      <c r="B85" s="1">
        <v>0.96003190673328298</v>
      </c>
      <c r="C85" s="1">
        <f t="shared" si="3"/>
        <v>3</v>
      </c>
      <c r="D85" s="1">
        <f t="shared" si="4"/>
        <v>4</v>
      </c>
      <c r="E85" s="1">
        <f t="shared" si="5"/>
        <v>1</v>
      </c>
    </row>
    <row r="86" spans="1:5" x14ac:dyDescent="0.25">
      <c r="A86" s="1">
        <v>84</v>
      </c>
      <c r="B86" s="1">
        <v>9.2646315838310622E-2</v>
      </c>
      <c r="C86" s="1">
        <f t="shared" si="3"/>
        <v>0</v>
      </c>
      <c r="D86" s="1">
        <f t="shared" si="4"/>
        <v>3</v>
      </c>
      <c r="E86" s="1">
        <f t="shared" si="5"/>
        <v>0</v>
      </c>
    </row>
    <row r="87" spans="1:5" x14ac:dyDescent="0.25">
      <c r="A87" s="1">
        <v>85</v>
      </c>
      <c r="B87" s="1">
        <v>0.56083045555855748</v>
      </c>
      <c r="C87" s="1">
        <f t="shared" si="3"/>
        <v>2</v>
      </c>
      <c r="D87" s="1">
        <f t="shared" si="4"/>
        <v>4</v>
      </c>
      <c r="E87" s="1">
        <f t="shared" si="5"/>
        <v>0</v>
      </c>
    </row>
    <row r="88" spans="1:5" x14ac:dyDescent="0.25">
      <c r="A88" s="1">
        <v>86</v>
      </c>
      <c r="B88" s="1">
        <v>0.12588813537347499</v>
      </c>
      <c r="C88" s="1">
        <f t="shared" si="3"/>
        <v>0</v>
      </c>
      <c r="D88" s="1">
        <f t="shared" si="4"/>
        <v>3</v>
      </c>
      <c r="E88" s="1">
        <f t="shared" si="5"/>
        <v>0</v>
      </c>
    </row>
    <row r="89" spans="1:5" x14ac:dyDescent="0.25">
      <c r="A89" s="1">
        <v>87</v>
      </c>
      <c r="B89" s="1">
        <v>0.88681308985797447</v>
      </c>
      <c r="C89" s="1">
        <f t="shared" si="3"/>
        <v>3</v>
      </c>
      <c r="D89" s="1">
        <f t="shared" si="4"/>
        <v>4</v>
      </c>
      <c r="E89" s="1">
        <f t="shared" si="5"/>
        <v>1</v>
      </c>
    </row>
    <row r="90" spans="1:5" x14ac:dyDescent="0.25">
      <c r="A90" s="1">
        <v>88</v>
      </c>
      <c r="B90" s="1">
        <v>0.62783413420077006</v>
      </c>
      <c r="C90" s="1">
        <f t="shared" si="3"/>
        <v>2</v>
      </c>
      <c r="D90" s="1">
        <f t="shared" si="4"/>
        <v>4</v>
      </c>
      <c r="E90" s="1">
        <f t="shared" si="5"/>
        <v>1</v>
      </c>
    </row>
    <row r="91" spans="1:5" x14ac:dyDescent="0.25">
      <c r="A91" s="1">
        <v>89</v>
      </c>
      <c r="B91" s="1">
        <v>0.52560385794629938</v>
      </c>
      <c r="C91" s="1">
        <f t="shared" si="3"/>
        <v>2</v>
      </c>
      <c r="D91" s="1">
        <f t="shared" si="4"/>
        <v>4</v>
      </c>
      <c r="E91" s="1">
        <f t="shared" si="5"/>
        <v>1</v>
      </c>
    </row>
    <row r="92" spans="1:5" x14ac:dyDescent="0.25">
      <c r="A92" s="1">
        <v>90</v>
      </c>
      <c r="B92" s="1">
        <v>0.80014161210352941</v>
      </c>
      <c r="C92" s="1">
        <f t="shared" si="3"/>
        <v>3</v>
      </c>
      <c r="D92" s="1">
        <f t="shared" si="4"/>
        <v>4</v>
      </c>
      <c r="E92" s="1">
        <f t="shared" si="5"/>
        <v>2</v>
      </c>
    </row>
    <row r="93" spans="1:5" x14ac:dyDescent="0.25">
      <c r="A93" s="1">
        <v>91</v>
      </c>
      <c r="B93" s="1">
        <v>3.354758361060084E-2</v>
      </c>
      <c r="C93" s="1">
        <f t="shared" si="3"/>
        <v>0</v>
      </c>
      <c r="D93" s="1">
        <f t="shared" si="4"/>
        <v>3</v>
      </c>
      <c r="E93" s="1">
        <f t="shared" si="5"/>
        <v>0</v>
      </c>
    </row>
    <row r="94" spans="1:5" x14ac:dyDescent="0.25">
      <c r="A94" s="1">
        <v>92</v>
      </c>
      <c r="B94" s="1">
        <v>0.73203844791726835</v>
      </c>
      <c r="C94" s="1">
        <f t="shared" si="3"/>
        <v>2</v>
      </c>
      <c r="D94" s="1">
        <f t="shared" si="4"/>
        <v>4</v>
      </c>
      <c r="E94" s="1">
        <f t="shared" si="5"/>
        <v>0</v>
      </c>
    </row>
    <row r="95" spans="1:5" x14ac:dyDescent="0.25">
      <c r="A95" s="1">
        <v>93</v>
      </c>
      <c r="B95" s="1">
        <v>0.717984896010332</v>
      </c>
      <c r="C95" s="1">
        <f t="shared" si="3"/>
        <v>2</v>
      </c>
      <c r="D95" s="1">
        <f t="shared" si="4"/>
        <v>4</v>
      </c>
      <c r="E95" s="1">
        <f t="shared" si="5"/>
        <v>1</v>
      </c>
    </row>
    <row r="96" spans="1:5" x14ac:dyDescent="0.25">
      <c r="A96" s="1">
        <v>94</v>
      </c>
      <c r="B96" s="1">
        <v>0.35940421837644698</v>
      </c>
      <c r="C96" s="1">
        <f t="shared" si="3"/>
        <v>1</v>
      </c>
      <c r="D96" s="1">
        <f t="shared" si="4"/>
        <v>4</v>
      </c>
      <c r="E96" s="1">
        <f t="shared" si="5"/>
        <v>0</v>
      </c>
    </row>
    <row r="97" spans="1:5" x14ac:dyDescent="0.25">
      <c r="A97" s="1">
        <v>95</v>
      </c>
      <c r="B97" s="1">
        <v>0.65556622131659381</v>
      </c>
      <c r="C97" s="1">
        <f t="shared" si="3"/>
        <v>2</v>
      </c>
      <c r="D97" s="1">
        <f t="shared" si="4"/>
        <v>4</v>
      </c>
      <c r="E97" s="1">
        <f t="shared" si="5"/>
        <v>1</v>
      </c>
    </row>
    <row r="98" spans="1:5" x14ac:dyDescent="0.25">
      <c r="A98" s="1">
        <v>96</v>
      </c>
      <c r="B98" s="1">
        <v>0.41294250402593147</v>
      </c>
      <c r="C98" s="1">
        <f t="shared" si="3"/>
        <v>1</v>
      </c>
      <c r="D98" s="1">
        <f t="shared" si="4"/>
        <v>4</v>
      </c>
      <c r="E98" s="1">
        <f t="shared" si="5"/>
        <v>0</v>
      </c>
    </row>
    <row r="99" spans="1:5" x14ac:dyDescent="0.25">
      <c r="A99" s="1">
        <v>97</v>
      </c>
      <c r="B99" s="1">
        <v>0.33438620342494685</v>
      </c>
      <c r="C99" s="1">
        <f t="shared" si="3"/>
        <v>1</v>
      </c>
      <c r="D99" s="1">
        <f t="shared" si="4"/>
        <v>4</v>
      </c>
      <c r="E99" s="1">
        <f t="shared" si="5"/>
        <v>0</v>
      </c>
    </row>
    <row r="100" spans="1:5" x14ac:dyDescent="0.25">
      <c r="A100" s="1">
        <v>98</v>
      </c>
      <c r="B100" s="1">
        <v>0.4827281985657359</v>
      </c>
      <c r="C100" s="1">
        <f t="shared" si="3"/>
        <v>1</v>
      </c>
      <c r="D100" s="1">
        <f t="shared" si="4"/>
        <v>4</v>
      </c>
      <c r="E100" s="1">
        <f t="shared" si="5"/>
        <v>0</v>
      </c>
    </row>
    <row r="101" spans="1:5" x14ac:dyDescent="0.25">
      <c r="A101" s="1">
        <v>99</v>
      </c>
      <c r="B101" s="1">
        <v>0.54233479135795626</v>
      </c>
      <c r="C101" s="1">
        <f t="shared" si="3"/>
        <v>2</v>
      </c>
      <c r="D101" s="1">
        <f t="shared" si="4"/>
        <v>4</v>
      </c>
      <c r="E101" s="1">
        <f t="shared" si="5"/>
        <v>1</v>
      </c>
    </row>
    <row r="102" spans="1:5" x14ac:dyDescent="0.25">
      <c r="A102" s="1">
        <v>100</v>
      </c>
      <c r="B102" s="1">
        <v>8.5226459784221609E-2</v>
      </c>
      <c r="C102" s="1">
        <f t="shared" si="3"/>
        <v>0</v>
      </c>
      <c r="D102" s="1">
        <f t="shared" si="4"/>
        <v>3</v>
      </c>
      <c r="E102" s="1">
        <f t="shared" si="5"/>
        <v>0</v>
      </c>
    </row>
    <row r="103" spans="1:5" x14ac:dyDescent="0.25">
      <c r="A103" s="1">
        <v>101</v>
      </c>
      <c r="B103" s="1">
        <v>0.97649385708684111</v>
      </c>
      <c r="C103" s="1">
        <f t="shared" si="3"/>
        <v>3</v>
      </c>
      <c r="D103" s="1">
        <f t="shared" si="4"/>
        <v>4</v>
      </c>
      <c r="E103" s="1">
        <f t="shared" si="5"/>
        <v>1</v>
      </c>
    </row>
    <row r="104" spans="1:5" x14ac:dyDescent="0.25">
      <c r="A104" s="1">
        <v>102</v>
      </c>
      <c r="B104" s="1">
        <v>0.31144236007005743</v>
      </c>
      <c r="C104" s="1">
        <f t="shared" si="3"/>
        <v>1</v>
      </c>
      <c r="D104" s="1">
        <f t="shared" si="4"/>
        <v>4</v>
      </c>
      <c r="E104" s="1">
        <f t="shared" si="5"/>
        <v>0</v>
      </c>
    </row>
    <row r="105" spans="1:5" x14ac:dyDescent="0.25">
      <c r="A105" s="1">
        <v>103</v>
      </c>
      <c r="B105" s="1">
        <v>4.8627126715148461E-2</v>
      </c>
      <c r="C105" s="1">
        <f t="shared" si="3"/>
        <v>0</v>
      </c>
      <c r="D105" s="1">
        <f t="shared" si="4"/>
        <v>3</v>
      </c>
      <c r="E105" s="1">
        <f t="shared" si="5"/>
        <v>0</v>
      </c>
    </row>
    <row r="106" spans="1:5" x14ac:dyDescent="0.25">
      <c r="A106" s="1">
        <v>104</v>
      </c>
      <c r="B106" s="1">
        <v>0.21265011908620124</v>
      </c>
      <c r="C106" s="1">
        <f t="shared" si="3"/>
        <v>0</v>
      </c>
      <c r="D106" s="1">
        <f t="shared" si="4"/>
        <v>2</v>
      </c>
      <c r="E106" s="1">
        <f t="shared" si="5"/>
        <v>0</v>
      </c>
    </row>
    <row r="107" spans="1:5" x14ac:dyDescent="0.25">
      <c r="A107" s="1">
        <v>105</v>
      </c>
      <c r="B107" s="1">
        <v>0.20364230348237644</v>
      </c>
      <c r="C107" s="1">
        <f t="shared" si="3"/>
        <v>0</v>
      </c>
      <c r="D107" s="1">
        <f t="shared" si="4"/>
        <v>1</v>
      </c>
      <c r="E107" s="1">
        <f t="shared" si="5"/>
        <v>0</v>
      </c>
    </row>
    <row r="108" spans="1:5" x14ac:dyDescent="0.25">
      <c r="A108" s="1">
        <v>106</v>
      </c>
      <c r="B108" s="1">
        <v>0.48384058524092555</v>
      </c>
      <c r="C108" s="1">
        <f t="shared" si="3"/>
        <v>1</v>
      </c>
      <c r="D108" s="1">
        <f t="shared" si="4"/>
        <v>1</v>
      </c>
      <c r="E108" s="1">
        <f t="shared" si="5"/>
        <v>0</v>
      </c>
    </row>
    <row r="109" spans="1:5" x14ac:dyDescent="0.25">
      <c r="A109" s="1">
        <v>107</v>
      </c>
      <c r="B109" s="1">
        <v>0.11423179446153875</v>
      </c>
      <c r="C109" s="1">
        <f t="shared" si="3"/>
        <v>0</v>
      </c>
      <c r="D109" s="1">
        <f t="shared" si="4"/>
        <v>0</v>
      </c>
      <c r="E109" s="1">
        <f t="shared" si="5"/>
        <v>0</v>
      </c>
    </row>
    <row r="110" spans="1:5" x14ac:dyDescent="0.25">
      <c r="A110" s="1">
        <v>108</v>
      </c>
      <c r="B110" s="1">
        <v>0.64856170136431202</v>
      </c>
      <c r="C110" s="1">
        <f t="shared" si="3"/>
        <v>2</v>
      </c>
      <c r="D110" s="1">
        <f t="shared" si="4"/>
        <v>1</v>
      </c>
      <c r="E110" s="1">
        <f t="shared" si="5"/>
        <v>0</v>
      </c>
    </row>
    <row r="111" spans="1:5" x14ac:dyDescent="0.25">
      <c r="A111" s="1">
        <v>109</v>
      </c>
      <c r="B111" s="1">
        <v>0.18240001407423467</v>
      </c>
      <c r="C111" s="1">
        <f t="shared" si="3"/>
        <v>0</v>
      </c>
      <c r="D111" s="1">
        <f t="shared" si="4"/>
        <v>0</v>
      </c>
      <c r="E111" s="1">
        <f t="shared" si="5"/>
        <v>0</v>
      </c>
    </row>
    <row r="112" spans="1:5" x14ac:dyDescent="0.25">
      <c r="A112" s="1">
        <v>110</v>
      </c>
      <c r="B112" s="1">
        <v>0.54876893491165901</v>
      </c>
      <c r="C112" s="1">
        <f t="shared" si="3"/>
        <v>2</v>
      </c>
      <c r="D112" s="1">
        <f t="shared" si="4"/>
        <v>1</v>
      </c>
      <c r="E112" s="1">
        <f t="shared" si="5"/>
        <v>0</v>
      </c>
    </row>
    <row r="113" spans="1:5" x14ac:dyDescent="0.25">
      <c r="A113" s="1">
        <v>111</v>
      </c>
      <c r="B113" s="1">
        <v>0.25041109772298664</v>
      </c>
      <c r="C113" s="1">
        <f t="shared" si="3"/>
        <v>1</v>
      </c>
      <c r="D113" s="1">
        <f t="shared" si="4"/>
        <v>1</v>
      </c>
      <c r="E113" s="1">
        <f t="shared" si="5"/>
        <v>0</v>
      </c>
    </row>
    <row r="114" spans="1:5" x14ac:dyDescent="0.25">
      <c r="A114" s="1">
        <v>112</v>
      </c>
      <c r="B114" s="1">
        <v>0.79762907649122738</v>
      </c>
      <c r="C114" s="1">
        <f t="shared" si="3"/>
        <v>3</v>
      </c>
      <c r="D114" s="1">
        <f t="shared" si="4"/>
        <v>3</v>
      </c>
      <c r="E114" s="1">
        <f t="shared" si="5"/>
        <v>0</v>
      </c>
    </row>
    <row r="115" spans="1:5" x14ac:dyDescent="0.25">
      <c r="A115" s="1">
        <v>113</v>
      </c>
      <c r="B115" s="1">
        <v>0.18403112232236918</v>
      </c>
      <c r="C115" s="1">
        <f t="shared" si="3"/>
        <v>0</v>
      </c>
      <c r="D115" s="1">
        <f t="shared" si="4"/>
        <v>2</v>
      </c>
      <c r="E115" s="1">
        <f t="shared" si="5"/>
        <v>0</v>
      </c>
    </row>
    <row r="116" spans="1:5" x14ac:dyDescent="0.25">
      <c r="A116" s="1">
        <v>114</v>
      </c>
      <c r="B116" s="1">
        <v>0.76689645138475349</v>
      </c>
      <c r="C116" s="1">
        <f t="shared" si="3"/>
        <v>3</v>
      </c>
      <c r="D116" s="1">
        <f t="shared" si="4"/>
        <v>4</v>
      </c>
      <c r="E116" s="1">
        <f t="shared" si="5"/>
        <v>0</v>
      </c>
    </row>
    <row r="117" spans="1:5" x14ac:dyDescent="0.25">
      <c r="A117" s="1">
        <v>115</v>
      </c>
      <c r="B117" s="1">
        <v>0.65758630821121555</v>
      </c>
      <c r="C117" s="1">
        <f t="shared" si="3"/>
        <v>2</v>
      </c>
      <c r="D117" s="1">
        <f t="shared" si="4"/>
        <v>4</v>
      </c>
      <c r="E117" s="1">
        <f t="shared" si="5"/>
        <v>1</v>
      </c>
    </row>
    <row r="118" spans="1:5" x14ac:dyDescent="0.25">
      <c r="A118" s="1">
        <v>116</v>
      </c>
      <c r="B118" s="1">
        <v>0.53545396787524979</v>
      </c>
      <c r="C118" s="1">
        <f t="shared" si="3"/>
        <v>2</v>
      </c>
      <c r="D118" s="1">
        <f t="shared" si="4"/>
        <v>4</v>
      </c>
      <c r="E118" s="1">
        <f t="shared" si="5"/>
        <v>1</v>
      </c>
    </row>
    <row r="119" spans="1:5" x14ac:dyDescent="0.25">
      <c r="A119" s="1">
        <v>117</v>
      </c>
      <c r="B119" s="1">
        <v>0.67124248606369552</v>
      </c>
      <c r="C119" s="1">
        <f t="shared" si="3"/>
        <v>2</v>
      </c>
      <c r="D119" s="1">
        <f t="shared" si="4"/>
        <v>4</v>
      </c>
      <c r="E119" s="1">
        <f t="shared" si="5"/>
        <v>1</v>
      </c>
    </row>
    <row r="120" spans="1:5" x14ac:dyDescent="0.25">
      <c r="A120" s="1">
        <v>118</v>
      </c>
      <c r="B120" s="1">
        <v>0.45964480913819872</v>
      </c>
      <c r="C120" s="1">
        <f t="shared" si="3"/>
        <v>1</v>
      </c>
      <c r="D120" s="1">
        <f t="shared" si="4"/>
        <v>4</v>
      </c>
      <c r="E120" s="1">
        <f t="shared" si="5"/>
        <v>0</v>
      </c>
    </row>
    <row r="121" spans="1:5" x14ac:dyDescent="0.25">
      <c r="A121" s="1">
        <v>119</v>
      </c>
      <c r="B121" s="1">
        <v>0.86589312949225439</v>
      </c>
      <c r="C121" s="1">
        <f t="shared" si="3"/>
        <v>3</v>
      </c>
      <c r="D121" s="1">
        <f t="shared" si="4"/>
        <v>4</v>
      </c>
      <c r="E121" s="1">
        <f t="shared" si="5"/>
        <v>2</v>
      </c>
    </row>
    <row r="122" spans="1:5" x14ac:dyDescent="0.25">
      <c r="A122" s="1">
        <v>120</v>
      </c>
      <c r="B122" s="1">
        <v>0.53655821532593329</v>
      </c>
      <c r="C122" s="1">
        <f t="shared" si="3"/>
        <v>2</v>
      </c>
      <c r="D122" s="1">
        <f t="shared" si="4"/>
        <v>4</v>
      </c>
      <c r="E122" s="1">
        <f t="shared" si="5"/>
        <v>1</v>
      </c>
    </row>
    <row r="123" spans="1:5" x14ac:dyDescent="0.25">
      <c r="A123" s="1">
        <v>121</v>
      </c>
      <c r="B123" s="1">
        <v>0.97714354693734773</v>
      </c>
      <c r="C123" s="1">
        <f t="shared" si="3"/>
        <v>3</v>
      </c>
      <c r="D123" s="1">
        <f t="shared" si="4"/>
        <v>4</v>
      </c>
      <c r="E123" s="1">
        <f t="shared" si="5"/>
        <v>2</v>
      </c>
    </row>
    <row r="124" spans="1:5" x14ac:dyDescent="0.25">
      <c r="A124" s="1">
        <v>122</v>
      </c>
      <c r="B124" s="1">
        <v>4.3551761574254777E-2</v>
      </c>
      <c r="C124" s="1">
        <f t="shared" si="3"/>
        <v>0</v>
      </c>
      <c r="D124" s="1">
        <f t="shared" si="4"/>
        <v>3</v>
      </c>
      <c r="E124" s="1">
        <f t="shared" si="5"/>
        <v>0</v>
      </c>
    </row>
    <row r="125" spans="1:5" x14ac:dyDescent="0.25">
      <c r="A125" s="1">
        <v>123</v>
      </c>
      <c r="B125" s="1">
        <v>3.5308042139145401E-2</v>
      </c>
      <c r="C125" s="1">
        <f t="shared" si="3"/>
        <v>0</v>
      </c>
      <c r="D125" s="1">
        <f t="shared" si="4"/>
        <v>2</v>
      </c>
      <c r="E125" s="1">
        <f t="shared" si="5"/>
        <v>0</v>
      </c>
    </row>
    <row r="126" spans="1:5" x14ac:dyDescent="0.25">
      <c r="A126" s="1">
        <v>124</v>
      </c>
      <c r="B126" s="1">
        <v>0.61072395558995807</v>
      </c>
      <c r="C126" s="1">
        <f t="shared" si="3"/>
        <v>2</v>
      </c>
      <c r="D126" s="1">
        <f t="shared" si="4"/>
        <v>3</v>
      </c>
      <c r="E126" s="1">
        <f t="shared" si="5"/>
        <v>0</v>
      </c>
    </row>
    <row r="127" spans="1:5" x14ac:dyDescent="0.25">
      <c r="A127" s="1">
        <v>125</v>
      </c>
      <c r="B127" s="1">
        <v>0.46279205516678479</v>
      </c>
      <c r="C127" s="1">
        <f t="shared" si="3"/>
        <v>1</v>
      </c>
      <c r="D127" s="1">
        <f t="shared" si="4"/>
        <v>3</v>
      </c>
      <c r="E127" s="1">
        <f t="shared" si="5"/>
        <v>0</v>
      </c>
    </row>
    <row r="128" spans="1:5" x14ac:dyDescent="0.25">
      <c r="A128" s="1">
        <v>126</v>
      </c>
      <c r="B128" s="1">
        <v>0.46787060632766198</v>
      </c>
      <c r="C128" s="1">
        <f t="shared" si="3"/>
        <v>1</v>
      </c>
      <c r="D128" s="1">
        <f t="shared" si="4"/>
        <v>3</v>
      </c>
      <c r="E128" s="1">
        <f t="shared" si="5"/>
        <v>0</v>
      </c>
    </row>
    <row r="129" spans="1:5" x14ac:dyDescent="0.25">
      <c r="A129" s="1">
        <v>127</v>
      </c>
      <c r="B129" s="1">
        <v>0.22881292084348615</v>
      </c>
      <c r="C129" s="1">
        <f t="shared" si="3"/>
        <v>0</v>
      </c>
      <c r="D129" s="1">
        <f t="shared" si="4"/>
        <v>2</v>
      </c>
      <c r="E129" s="1">
        <f t="shared" si="5"/>
        <v>0</v>
      </c>
    </row>
    <row r="130" spans="1:5" x14ac:dyDescent="0.25">
      <c r="A130" s="1">
        <v>128</v>
      </c>
      <c r="B130" s="1">
        <v>0.43684170336595873</v>
      </c>
      <c r="C130" s="1">
        <f t="shared" si="3"/>
        <v>1</v>
      </c>
      <c r="D130" s="1">
        <f t="shared" si="4"/>
        <v>2</v>
      </c>
      <c r="E130" s="1">
        <f t="shared" si="5"/>
        <v>0</v>
      </c>
    </row>
    <row r="131" spans="1:5" x14ac:dyDescent="0.25">
      <c r="A131" s="1">
        <v>129</v>
      </c>
      <c r="B131" s="1">
        <v>0.78936474321093897</v>
      </c>
      <c r="C131" s="1">
        <f t="shared" si="3"/>
        <v>3</v>
      </c>
      <c r="D131" s="1">
        <f t="shared" si="4"/>
        <v>4</v>
      </c>
      <c r="E131" s="1">
        <f t="shared" si="5"/>
        <v>0</v>
      </c>
    </row>
    <row r="132" spans="1:5" x14ac:dyDescent="0.25">
      <c r="A132" s="1">
        <v>130</v>
      </c>
      <c r="B132" s="1">
        <v>0.51993312207619546</v>
      </c>
      <c r="C132" s="1">
        <f t="shared" ref="C132:C195" si="6">IF(B132&lt;$L$7,$L$5,IF(B132&lt;$M$7,$M$5,IF(B132&lt;$N$7,$N$5,$O$5)))</f>
        <v>2</v>
      </c>
      <c r="D132" s="1">
        <f t="shared" ref="D132:D195" si="7">MAX(0,MIN(D131+C132-$L$10,$L$9))</f>
        <v>4</v>
      </c>
      <c r="E132" s="1">
        <f t="shared" ref="E132:E195" si="8">MAX(D131+C132-$L$10-$L$9,0)</f>
        <v>1</v>
      </c>
    </row>
    <row r="133" spans="1:5" x14ac:dyDescent="0.25">
      <c r="A133" s="1">
        <v>131</v>
      </c>
      <c r="B133" s="1">
        <v>0.48686585327094956</v>
      </c>
      <c r="C133" s="1">
        <f t="shared" si="6"/>
        <v>1</v>
      </c>
      <c r="D133" s="1">
        <f t="shared" si="7"/>
        <v>4</v>
      </c>
      <c r="E133" s="1">
        <f t="shared" si="8"/>
        <v>0</v>
      </c>
    </row>
    <row r="134" spans="1:5" x14ac:dyDescent="0.25">
      <c r="A134" s="1">
        <v>132</v>
      </c>
      <c r="B134" s="1">
        <v>0.86961174912444483</v>
      </c>
      <c r="C134" s="1">
        <f t="shared" si="6"/>
        <v>3</v>
      </c>
      <c r="D134" s="1">
        <f t="shared" si="7"/>
        <v>4</v>
      </c>
      <c r="E134" s="1">
        <f t="shared" si="8"/>
        <v>2</v>
      </c>
    </row>
    <row r="135" spans="1:5" x14ac:dyDescent="0.25">
      <c r="A135" s="1">
        <v>133</v>
      </c>
      <c r="B135" s="1">
        <v>0.11015367777696838</v>
      </c>
      <c r="C135" s="1">
        <f t="shared" si="6"/>
        <v>0</v>
      </c>
      <c r="D135" s="1">
        <f t="shared" si="7"/>
        <v>3</v>
      </c>
      <c r="E135" s="1">
        <f t="shared" si="8"/>
        <v>0</v>
      </c>
    </row>
    <row r="136" spans="1:5" x14ac:dyDescent="0.25">
      <c r="A136" s="1">
        <v>134</v>
      </c>
      <c r="B136" s="1">
        <v>0.63766888879348094</v>
      </c>
      <c r="C136" s="1">
        <f t="shared" si="6"/>
        <v>2</v>
      </c>
      <c r="D136" s="1">
        <f t="shared" si="7"/>
        <v>4</v>
      </c>
      <c r="E136" s="1">
        <f t="shared" si="8"/>
        <v>0</v>
      </c>
    </row>
    <row r="137" spans="1:5" x14ac:dyDescent="0.25">
      <c r="A137" s="1">
        <v>135</v>
      </c>
      <c r="B137" s="1">
        <v>0.31244693253679667</v>
      </c>
      <c r="C137" s="1">
        <f t="shared" si="6"/>
        <v>1</v>
      </c>
      <c r="D137" s="1">
        <f t="shared" si="7"/>
        <v>4</v>
      </c>
      <c r="E137" s="1">
        <f t="shared" si="8"/>
        <v>0</v>
      </c>
    </row>
    <row r="138" spans="1:5" x14ac:dyDescent="0.25">
      <c r="A138" s="1">
        <v>136</v>
      </c>
      <c r="B138" s="1">
        <v>0.68378013585362796</v>
      </c>
      <c r="C138" s="1">
        <f t="shared" si="6"/>
        <v>2</v>
      </c>
      <c r="D138" s="1">
        <f t="shared" si="7"/>
        <v>4</v>
      </c>
      <c r="E138" s="1">
        <f t="shared" si="8"/>
        <v>1</v>
      </c>
    </row>
    <row r="139" spans="1:5" x14ac:dyDescent="0.25">
      <c r="A139" s="1">
        <v>137</v>
      </c>
      <c r="B139" s="1">
        <v>0.51523999761115047</v>
      </c>
      <c r="C139" s="1">
        <f t="shared" si="6"/>
        <v>2</v>
      </c>
      <c r="D139" s="1">
        <f t="shared" si="7"/>
        <v>4</v>
      </c>
      <c r="E139" s="1">
        <f t="shared" si="8"/>
        <v>1</v>
      </c>
    </row>
    <row r="140" spans="1:5" x14ac:dyDescent="0.25">
      <c r="A140" s="1">
        <v>138</v>
      </c>
      <c r="B140" s="1">
        <v>0.31115420803058402</v>
      </c>
      <c r="C140" s="1">
        <f t="shared" si="6"/>
        <v>1</v>
      </c>
      <c r="D140" s="1">
        <f t="shared" si="7"/>
        <v>4</v>
      </c>
      <c r="E140" s="1">
        <f t="shared" si="8"/>
        <v>0</v>
      </c>
    </row>
    <row r="141" spans="1:5" x14ac:dyDescent="0.25">
      <c r="A141" s="1">
        <v>139</v>
      </c>
      <c r="B141" s="1">
        <v>0.80203422162553628</v>
      </c>
      <c r="C141" s="1">
        <f t="shared" si="6"/>
        <v>3</v>
      </c>
      <c r="D141" s="1">
        <f t="shared" si="7"/>
        <v>4</v>
      </c>
      <c r="E141" s="1">
        <f t="shared" si="8"/>
        <v>2</v>
      </c>
    </row>
    <row r="142" spans="1:5" x14ac:dyDescent="0.25">
      <c r="A142" s="1">
        <v>140</v>
      </c>
      <c r="B142" s="1">
        <v>0.54390395528941837</v>
      </c>
      <c r="C142" s="1">
        <f t="shared" si="6"/>
        <v>2</v>
      </c>
      <c r="D142" s="1">
        <f t="shared" si="7"/>
        <v>4</v>
      </c>
      <c r="E142" s="1">
        <f t="shared" si="8"/>
        <v>1</v>
      </c>
    </row>
    <row r="143" spans="1:5" x14ac:dyDescent="0.25">
      <c r="A143" s="1">
        <v>141</v>
      </c>
      <c r="B143" s="1">
        <v>0.19945889441647013</v>
      </c>
      <c r="C143" s="1">
        <f t="shared" si="6"/>
        <v>0</v>
      </c>
      <c r="D143" s="1">
        <f t="shared" si="7"/>
        <v>3</v>
      </c>
      <c r="E143" s="1">
        <f t="shared" si="8"/>
        <v>0</v>
      </c>
    </row>
    <row r="144" spans="1:5" x14ac:dyDescent="0.25">
      <c r="A144" s="1">
        <v>142</v>
      </c>
      <c r="B144" s="1">
        <v>0.2555736478074504</v>
      </c>
      <c r="C144" s="1">
        <f t="shared" si="6"/>
        <v>1</v>
      </c>
      <c r="D144" s="1">
        <f t="shared" si="7"/>
        <v>3</v>
      </c>
      <c r="E144" s="1">
        <f t="shared" si="8"/>
        <v>0</v>
      </c>
    </row>
    <row r="145" spans="1:5" x14ac:dyDescent="0.25">
      <c r="A145" s="1">
        <v>143</v>
      </c>
      <c r="B145" s="1">
        <v>0.2353610253891586</v>
      </c>
      <c r="C145" s="1">
        <f t="shared" si="6"/>
        <v>0</v>
      </c>
      <c r="D145" s="1">
        <f t="shared" si="7"/>
        <v>2</v>
      </c>
      <c r="E145" s="1">
        <f t="shared" si="8"/>
        <v>0</v>
      </c>
    </row>
    <row r="146" spans="1:5" x14ac:dyDescent="0.25">
      <c r="A146" s="1">
        <v>144</v>
      </c>
      <c r="B146" s="1">
        <v>0.7599900644451506</v>
      </c>
      <c r="C146" s="1">
        <f t="shared" si="6"/>
        <v>3</v>
      </c>
      <c r="D146" s="1">
        <f t="shared" si="7"/>
        <v>4</v>
      </c>
      <c r="E146" s="1">
        <f t="shared" si="8"/>
        <v>0</v>
      </c>
    </row>
    <row r="147" spans="1:5" x14ac:dyDescent="0.25">
      <c r="A147" s="1">
        <v>145</v>
      </c>
      <c r="B147" s="1">
        <v>0.72579836438027612</v>
      </c>
      <c r="C147" s="1">
        <f t="shared" si="6"/>
        <v>2</v>
      </c>
      <c r="D147" s="1">
        <f t="shared" si="7"/>
        <v>4</v>
      </c>
      <c r="E147" s="1">
        <f t="shared" si="8"/>
        <v>1</v>
      </c>
    </row>
    <row r="148" spans="1:5" x14ac:dyDescent="0.25">
      <c r="A148" s="1">
        <v>146</v>
      </c>
      <c r="B148" s="1">
        <v>0.43825961073939357</v>
      </c>
      <c r="C148" s="1">
        <f t="shared" si="6"/>
        <v>1</v>
      </c>
      <c r="D148" s="1">
        <f t="shared" si="7"/>
        <v>4</v>
      </c>
      <c r="E148" s="1">
        <f t="shared" si="8"/>
        <v>0</v>
      </c>
    </row>
    <row r="149" spans="1:5" x14ac:dyDescent="0.25">
      <c r="A149" s="1">
        <v>147</v>
      </c>
      <c r="B149" s="1">
        <v>2.3769864674829444E-2</v>
      </c>
      <c r="C149" s="1">
        <f t="shared" si="6"/>
        <v>0</v>
      </c>
      <c r="D149" s="1">
        <f t="shared" si="7"/>
        <v>3</v>
      </c>
      <c r="E149" s="1">
        <f t="shared" si="8"/>
        <v>0</v>
      </c>
    </row>
    <row r="150" spans="1:5" x14ac:dyDescent="0.25">
      <c r="A150" s="1">
        <v>148</v>
      </c>
      <c r="B150" s="1">
        <v>0.12518879146629813</v>
      </c>
      <c r="C150" s="1">
        <f t="shared" si="6"/>
        <v>0</v>
      </c>
      <c r="D150" s="1">
        <f t="shared" si="7"/>
        <v>2</v>
      </c>
      <c r="E150" s="1">
        <f t="shared" si="8"/>
        <v>0</v>
      </c>
    </row>
    <row r="151" spans="1:5" x14ac:dyDescent="0.25">
      <c r="A151" s="1">
        <v>149</v>
      </c>
      <c r="B151" s="1">
        <v>0.38290595400611993</v>
      </c>
      <c r="C151" s="1">
        <f t="shared" si="6"/>
        <v>1</v>
      </c>
      <c r="D151" s="1">
        <f t="shared" si="7"/>
        <v>2</v>
      </c>
      <c r="E151" s="1">
        <f t="shared" si="8"/>
        <v>0</v>
      </c>
    </row>
    <row r="152" spans="1:5" x14ac:dyDescent="0.25">
      <c r="A152" s="1">
        <v>150</v>
      </c>
      <c r="B152" s="1">
        <v>0.16528040325851012</v>
      </c>
      <c r="C152" s="1">
        <f t="shared" si="6"/>
        <v>0</v>
      </c>
      <c r="D152" s="1">
        <f t="shared" si="7"/>
        <v>1</v>
      </c>
      <c r="E152" s="1">
        <f t="shared" si="8"/>
        <v>0</v>
      </c>
    </row>
    <row r="153" spans="1:5" x14ac:dyDescent="0.25">
      <c r="A153" s="1">
        <v>151</v>
      </c>
      <c r="B153" s="1">
        <v>0.96319544842564997</v>
      </c>
      <c r="C153" s="1">
        <f t="shared" si="6"/>
        <v>3</v>
      </c>
      <c r="D153" s="1">
        <f t="shared" si="7"/>
        <v>3</v>
      </c>
      <c r="E153" s="1">
        <f t="shared" si="8"/>
        <v>0</v>
      </c>
    </row>
    <row r="154" spans="1:5" x14ac:dyDescent="0.25">
      <c r="A154" s="1">
        <v>152</v>
      </c>
      <c r="B154" s="1">
        <v>0.63577826639440749</v>
      </c>
      <c r="C154" s="1">
        <f t="shared" si="6"/>
        <v>2</v>
      </c>
      <c r="D154" s="1">
        <f t="shared" si="7"/>
        <v>4</v>
      </c>
      <c r="E154" s="1">
        <f t="shared" si="8"/>
        <v>0</v>
      </c>
    </row>
    <row r="155" spans="1:5" x14ac:dyDescent="0.25">
      <c r="A155" s="1">
        <v>153</v>
      </c>
      <c r="B155" s="1">
        <v>0.90576045265111227</v>
      </c>
      <c r="C155" s="1">
        <f t="shared" si="6"/>
        <v>3</v>
      </c>
      <c r="D155" s="1">
        <f t="shared" si="7"/>
        <v>4</v>
      </c>
      <c r="E155" s="1">
        <f t="shared" si="8"/>
        <v>2</v>
      </c>
    </row>
    <row r="156" spans="1:5" x14ac:dyDescent="0.25">
      <c r="A156" s="1">
        <v>154</v>
      </c>
      <c r="B156" s="1">
        <v>0.28984482328288252</v>
      </c>
      <c r="C156" s="1">
        <f t="shared" si="6"/>
        <v>1</v>
      </c>
      <c r="D156" s="1">
        <f t="shared" si="7"/>
        <v>4</v>
      </c>
      <c r="E156" s="1">
        <f t="shared" si="8"/>
        <v>0</v>
      </c>
    </row>
    <row r="157" spans="1:5" x14ac:dyDescent="0.25">
      <c r="A157" s="1">
        <v>155</v>
      </c>
      <c r="B157" s="1">
        <v>0.28955215292999625</v>
      </c>
      <c r="C157" s="1">
        <f t="shared" si="6"/>
        <v>1</v>
      </c>
      <c r="D157" s="1">
        <f t="shared" si="7"/>
        <v>4</v>
      </c>
      <c r="E157" s="1">
        <f t="shared" si="8"/>
        <v>0</v>
      </c>
    </row>
    <row r="158" spans="1:5" x14ac:dyDescent="0.25">
      <c r="A158" s="1">
        <v>156</v>
      </c>
      <c r="B158" s="1">
        <v>0.78268348314046943</v>
      </c>
      <c r="C158" s="1">
        <f t="shared" si="6"/>
        <v>3</v>
      </c>
      <c r="D158" s="1">
        <f t="shared" si="7"/>
        <v>4</v>
      </c>
      <c r="E158" s="1">
        <f t="shared" si="8"/>
        <v>2</v>
      </c>
    </row>
    <row r="159" spans="1:5" x14ac:dyDescent="0.25">
      <c r="A159" s="1">
        <v>157</v>
      </c>
      <c r="B159" s="1">
        <v>0.20942744317328521</v>
      </c>
      <c r="C159" s="1">
        <f t="shared" si="6"/>
        <v>0</v>
      </c>
      <c r="D159" s="1">
        <f t="shared" si="7"/>
        <v>3</v>
      </c>
      <c r="E159" s="1">
        <f t="shared" si="8"/>
        <v>0</v>
      </c>
    </row>
    <row r="160" spans="1:5" x14ac:dyDescent="0.25">
      <c r="A160" s="1">
        <v>158</v>
      </c>
      <c r="B160" s="1">
        <v>0.4779295427082888</v>
      </c>
      <c r="C160" s="1">
        <f t="shared" si="6"/>
        <v>1</v>
      </c>
      <c r="D160" s="1">
        <f t="shared" si="7"/>
        <v>3</v>
      </c>
      <c r="E160" s="1">
        <f t="shared" si="8"/>
        <v>0</v>
      </c>
    </row>
    <row r="161" spans="1:5" x14ac:dyDescent="0.25">
      <c r="A161" s="1">
        <v>159</v>
      </c>
      <c r="B161" s="1">
        <v>4.2239748299170987E-2</v>
      </c>
      <c r="C161" s="1">
        <f t="shared" si="6"/>
        <v>0</v>
      </c>
      <c r="D161" s="1">
        <f t="shared" si="7"/>
        <v>2</v>
      </c>
      <c r="E161" s="1">
        <f t="shared" si="8"/>
        <v>0</v>
      </c>
    </row>
    <row r="162" spans="1:5" x14ac:dyDescent="0.25">
      <c r="A162" s="1">
        <v>160</v>
      </c>
      <c r="B162" s="1">
        <v>0.97255562322993527</v>
      </c>
      <c r="C162" s="1">
        <f t="shared" si="6"/>
        <v>3</v>
      </c>
      <c r="D162" s="1">
        <f t="shared" si="7"/>
        <v>4</v>
      </c>
      <c r="E162" s="1">
        <f t="shared" si="8"/>
        <v>0</v>
      </c>
    </row>
    <row r="163" spans="1:5" x14ac:dyDescent="0.25">
      <c r="A163" s="1">
        <v>161</v>
      </c>
      <c r="B163" s="1">
        <v>0.91106877065074898</v>
      </c>
      <c r="C163" s="1">
        <f t="shared" si="6"/>
        <v>3</v>
      </c>
      <c r="D163" s="1">
        <f t="shared" si="7"/>
        <v>4</v>
      </c>
      <c r="E163" s="1">
        <f t="shared" si="8"/>
        <v>2</v>
      </c>
    </row>
    <row r="164" spans="1:5" x14ac:dyDescent="0.25">
      <c r="A164" s="1">
        <v>162</v>
      </c>
      <c r="B164" s="1">
        <v>0.23772777895565944</v>
      </c>
      <c r="C164" s="1">
        <f t="shared" si="6"/>
        <v>0</v>
      </c>
      <c r="D164" s="1">
        <f t="shared" si="7"/>
        <v>3</v>
      </c>
      <c r="E164" s="1">
        <f t="shared" si="8"/>
        <v>0</v>
      </c>
    </row>
    <row r="165" spans="1:5" x14ac:dyDescent="0.25">
      <c r="A165" s="1">
        <v>163</v>
      </c>
      <c r="B165" s="1">
        <v>0.75322644864047583</v>
      </c>
      <c r="C165" s="1">
        <f t="shared" si="6"/>
        <v>3</v>
      </c>
      <c r="D165" s="1">
        <f t="shared" si="7"/>
        <v>4</v>
      </c>
      <c r="E165" s="1">
        <f t="shared" si="8"/>
        <v>1</v>
      </c>
    </row>
    <row r="166" spans="1:5" x14ac:dyDescent="0.25">
      <c r="A166" s="1">
        <v>164</v>
      </c>
      <c r="B166" s="1">
        <v>0.82714827118717571</v>
      </c>
      <c r="C166" s="1">
        <f t="shared" si="6"/>
        <v>3</v>
      </c>
      <c r="D166" s="1">
        <f t="shared" si="7"/>
        <v>4</v>
      </c>
      <c r="E166" s="1">
        <f t="shared" si="8"/>
        <v>2</v>
      </c>
    </row>
    <row r="167" spans="1:5" x14ac:dyDescent="0.25">
      <c r="A167" s="1">
        <v>165</v>
      </c>
      <c r="B167" s="1">
        <v>0.26621725408400809</v>
      </c>
      <c r="C167" s="1">
        <f t="shared" si="6"/>
        <v>1</v>
      </c>
      <c r="D167" s="1">
        <f t="shared" si="7"/>
        <v>4</v>
      </c>
      <c r="E167" s="1">
        <f t="shared" si="8"/>
        <v>0</v>
      </c>
    </row>
    <row r="168" spans="1:5" x14ac:dyDescent="0.25">
      <c r="A168" s="1">
        <v>166</v>
      </c>
      <c r="B168" s="1">
        <v>0.77482120895038176</v>
      </c>
      <c r="C168" s="1">
        <f t="shared" si="6"/>
        <v>3</v>
      </c>
      <c r="D168" s="1">
        <f t="shared" si="7"/>
        <v>4</v>
      </c>
      <c r="E168" s="1">
        <f t="shared" si="8"/>
        <v>2</v>
      </c>
    </row>
    <row r="169" spans="1:5" x14ac:dyDescent="0.25">
      <c r="A169" s="1">
        <v>167</v>
      </c>
      <c r="B169" s="1">
        <v>0.71461450363543544</v>
      </c>
      <c r="C169" s="1">
        <f t="shared" si="6"/>
        <v>2</v>
      </c>
      <c r="D169" s="1">
        <f t="shared" si="7"/>
        <v>4</v>
      </c>
      <c r="E169" s="1">
        <f t="shared" si="8"/>
        <v>1</v>
      </c>
    </row>
    <row r="170" spans="1:5" x14ac:dyDescent="0.25">
      <c r="A170" s="1">
        <v>168</v>
      </c>
      <c r="B170" s="1">
        <v>0.72451441754278401</v>
      </c>
      <c r="C170" s="1">
        <f t="shared" si="6"/>
        <v>2</v>
      </c>
      <c r="D170" s="1">
        <f t="shared" si="7"/>
        <v>4</v>
      </c>
      <c r="E170" s="1">
        <f t="shared" si="8"/>
        <v>1</v>
      </c>
    </row>
    <row r="171" spans="1:5" x14ac:dyDescent="0.25">
      <c r="A171" s="1">
        <v>169</v>
      </c>
      <c r="B171" s="1">
        <v>0.46610363993605086</v>
      </c>
      <c r="C171" s="1">
        <f t="shared" si="6"/>
        <v>1</v>
      </c>
      <c r="D171" s="1">
        <f t="shared" si="7"/>
        <v>4</v>
      </c>
      <c r="E171" s="1">
        <f t="shared" si="8"/>
        <v>0</v>
      </c>
    </row>
    <row r="172" spans="1:5" x14ac:dyDescent="0.25">
      <c r="A172" s="1">
        <v>170</v>
      </c>
      <c r="B172" s="1">
        <v>0.473539437039185</v>
      </c>
      <c r="C172" s="1">
        <f t="shared" si="6"/>
        <v>1</v>
      </c>
      <c r="D172" s="1">
        <f t="shared" si="7"/>
        <v>4</v>
      </c>
      <c r="E172" s="1">
        <f t="shared" si="8"/>
        <v>0</v>
      </c>
    </row>
    <row r="173" spans="1:5" x14ac:dyDescent="0.25">
      <c r="A173" s="1">
        <v>171</v>
      </c>
      <c r="B173" s="1">
        <v>0.91499018784396224</v>
      </c>
      <c r="C173" s="1">
        <f t="shared" si="6"/>
        <v>3</v>
      </c>
      <c r="D173" s="1">
        <f t="shared" si="7"/>
        <v>4</v>
      </c>
      <c r="E173" s="1">
        <f t="shared" si="8"/>
        <v>2</v>
      </c>
    </row>
    <row r="174" spans="1:5" x14ac:dyDescent="0.25">
      <c r="A174" s="1">
        <v>172</v>
      </c>
      <c r="B174" s="1">
        <v>0.42628979860747118</v>
      </c>
      <c r="C174" s="1">
        <f t="shared" si="6"/>
        <v>1</v>
      </c>
      <c r="D174" s="1">
        <f t="shared" si="7"/>
        <v>4</v>
      </c>
      <c r="E174" s="1">
        <f t="shared" si="8"/>
        <v>0</v>
      </c>
    </row>
    <row r="175" spans="1:5" x14ac:dyDescent="0.25">
      <c r="A175" s="1">
        <v>173</v>
      </c>
      <c r="B175" s="1">
        <v>0.15459828465463621</v>
      </c>
      <c r="C175" s="1">
        <f t="shared" si="6"/>
        <v>0</v>
      </c>
      <c r="D175" s="1">
        <f t="shared" si="7"/>
        <v>3</v>
      </c>
      <c r="E175" s="1">
        <f t="shared" si="8"/>
        <v>0</v>
      </c>
    </row>
    <row r="176" spans="1:5" x14ac:dyDescent="0.25">
      <c r="A176" s="1">
        <v>174</v>
      </c>
      <c r="B176" s="1">
        <v>0.4553701266738116</v>
      </c>
      <c r="C176" s="1">
        <f t="shared" si="6"/>
        <v>1</v>
      </c>
      <c r="D176" s="1">
        <f t="shared" si="7"/>
        <v>3</v>
      </c>
      <c r="E176" s="1">
        <f t="shared" si="8"/>
        <v>0</v>
      </c>
    </row>
    <row r="177" spans="1:5" x14ac:dyDescent="0.25">
      <c r="A177" s="1">
        <v>175</v>
      </c>
      <c r="B177" s="1">
        <v>0.88793763776621715</v>
      </c>
      <c r="C177" s="1">
        <f t="shared" si="6"/>
        <v>3</v>
      </c>
      <c r="D177" s="1">
        <f t="shared" si="7"/>
        <v>4</v>
      </c>
      <c r="E177" s="1">
        <f t="shared" si="8"/>
        <v>1</v>
      </c>
    </row>
    <row r="178" spans="1:5" x14ac:dyDescent="0.25">
      <c r="A178" s="1">
        <v>176</v>
      </c>
      <c r="B178" s="1">
        <v>5.2978575946659778E-2</v>
      </c>
      <c r="C178" s="1">
        <f t="shared" si="6"/>
        <v>0</v>
      </c>
      <c r="D178" s="1">
        <f t="shared" si="7"/>
        <v>3</v>
      </c>
      <c r="E178" s="1">
        <f t="shared" si="8"/>
        <v>0</v>
      </c>
    </row>
    <row r="179" spans="1:5" x14ac:dyDescent="0.25">
      <c r="A179" s="1">
        <v>177</v>
      </c>
      <c r="B179" s="1">
        <v>0.1920376989635707</v>
      </c>
      <c r="C179" s="1">
        <f t="shared" si="6"/>
        <v>0</v>
      </c>
      <c r="D179" s="1">
        <f t="shared" si="7"/>
        <v>2</v>
      </c>
      <c r="E179" s="1">
        <f t="shared" si="8"/>
        <v>0</v>
      </c>
    </row>
    <row r="180" spans="1:5" x14ac:dyDescent="0.25">
      <c r="A180" s="1">
        <v>178</v>
      </c>
      <c r="B180" s="1">
        <v>4.3761203864133291E-2</v>
      </c>
      <c r="C180" s="1">
        <f t="shared" si="6"/>
        <v>0</v>
      </c>
      <c r="D180" s="1">
        <f t="shared" si="7"/>
        <v>1</v>
      </c>
      <c r="E180" s="1">
        <f t="shared" si="8"/>
        <v>0</v>
      </c>
    </row>
    <row r="181" spans="1:5" x14ac:dyDescent="0.25">
      <c r="A181" s="1">
        <v>179</v>
      </c>
      <c r="B181" s="1">
        <v>0.71305050902446365</v>
      </c>
      <c r="C181" s="1">
        <f t="shared" si="6"/>
        <v>2</v>
      </c>
      <c r="D181" s="1">
        <f t="shared" si="7"/>
        <v>2</v>
      </c>
      <c r="E181" s="1">
        <f t="shared" si="8"/>
        <v>0</v>
      </c>
    </row>
    <row r="182" spans="1:5" x14ac:dyDescent="0.25">
      <c r="A182" s="1">
        <v>180</v>
      </c>
      <c r="B182" s="1">
        <v>0.73519258018420008</v>
      </c>
      <c r="C182" s="1">
        <f t="shared" si="6"/>
        <v>2</v>
      </c>
      <c r="D182" s="1">
        <f t="shared" si="7"/>
        <v>3</v>
      </c>
      <c r="E182" s="1">
        <f t="shared" si="8"/>
        <v>0</v>
      </c>
    </row>
    <row r="183" spans="1:5" x14ac:dyDescent="0.25">
      <c r="A183" s="1">
        <v>181</v>
      </c>
      <c r="B183" s="1">
        <v>0.73030019638766186</v>
      </c>
      <c r="C183" s="1">
        <f t="shared" si="6"/>
        <v>2</v>
      </c>
      <c r="D183" s="1">
        <f t="shared" si="7"/>
        <v>4</v>
      </c>
      <c r="E183" s="1">
        <f t="shared" si="8"/>
        <v>0</v>
      </c>
    </row>
    <row r="184" spans="1:5" x14ac:dyDescent="0.25">
      <c r="A184" s="1">
        <v>182</v>
      </c>
      <c r="B184" s="1">
        <v>0.91727367605757204</v>
      </c>
      <c r="C184" s="1">
        <f t="shared" si="6"/>
        <v>3</v>
      </c>
      <c r="D184" s="1">
        <f t="shared" si="7"/>
        <v>4</v>
      </c>
      <c r="E184" s="1">
        <f t="shared" si="8"/>
        <v>2</v>
      </c>
    </row>
    <row r="185" spans="1:5" x14ac:dyDescent="0.25">
      <c r="A185" s="1">
        <v>183</v>
      </c>
      <c r="B185" s="1">
        <v>0.48396428615334153</v>
      </c>
      <c r="C185" s="1">
        <f t="shared" si="6"/>
        <v>1</v>
      </c>
      <c r="D185" s="1">
        <f t="shared" si="7"/>
        <v>4</v>
      </c>
      <c r="E185" s="1">
        <f t="shared" si="8"/>
        <v>0</v>
      </c>
    </row>
    <row r="186" spans="1:5" x14ac:dyDescent="0.25">
      <c r="A186" s="1">
        <v>184</v>
      </c>
      <c r="B186" s="1">
        <v>0.23423112153151382</v>
      </c>
      <c r="C186" s="1">
        <f t="shared" si="6"/>
        <v>0</v>
      </c>
      <c r="D186" s="1">
        <f t="shared" si="7"/>
        <v>3</v>
      </c>
      <c r="E186" s="1">
        <f t="shared" si="8"/>
        <v>0</v>
      </c>
    </row>
    <row r="187" spans="1:5" x14ac:dyDescent="0.25">
      <c r="A187" s="1">
        <v>185</v>
      </c>
      <c r="B187" s="1">
        <v>0.69818160997976819</v>
      </c>
      <c r="C187" s="1">
        <f t="shared" si="6"/>
        <v>2</v>
      </c>
      <c r="D187" s="1">
        <f t="shared" si="7"/>
        <v>4</v>
      </c>
      <c r="E187" s="1">
        <f t="shared" si="8"/>
        <v>0</v>
      </c>
    </row>
    <row r="188" spans="1:5" x14ac:dyDescent="0.25">
      <c r="A188" s="1">
        <v>186</v>
      </c>
      <c r="B188" s="1">
        <v>0.52864039740757973</v>
      </c>
      <c r="C188" s="1">
        <f t="shared" si="6"/>
        <v>2</v>
      </c>
      <c r="D188" s="1">
        <f t="shared" si="7"/>
        <v>4</v>
      </c>
      <c r="E188" s="1">
        <f t="shared" si="8"/>
        <v>1</v>
      </c>
    </row>
    <row r="189" spans="1:5" x14ac:dyDescent="0.25">
      <c r="A189" s="1">
        <v>187</v>
      </c>
      <c r="B189" s="1">
        <v>0.60506621018142259</v>
      </c>
      <c r="C189" s="1">
        <f t="shared" si="6"/>
        <v>2</v>
      </c>
      <c r="D189" s="1">
        <f t="shared" si="7"/>
        <v>4</v>
      </c>
      <c r="E189" s="1">
        <f t="shared" si="8"/>
        <v>1</v>
      </c>
    </row>
    <row r="190" spans="1:5" x14ac:dyDescent="0.25">
      <c r="A190" s="1">
        <v>188</v>
      </c>
      <c r="B190" s="1">
        <v>0.96429959977136925</v>
      </c>
      <c r="C190" s="1">
        <f t="shared" si="6"/>
        <v>3</v>
      </c>
      <c r="D190" s="1">
        <f t="shared" si="7"/>
        <v>4</v>
      </c>
      <c r="E190" s="1">
        <f t="shared" si="8"/>
        <v>2</v>
      </c>
    </row>
    <row r="191" spans="1:5" x14ac:dyDescent="0.25">
      <c r="A191" s="1">
        <v>189</v>
      </c>
      <c r="B191" s="1">
        <v>0.55439012777920527</v>
      </c>
      <c r="C191" s="1">
        <f t="shared" si="6"/>
        <v>2</v>
      </c>
      <c r="D191" s="1">
        <f t="shared" si="7"/>
        <v>4</v>
      </c>
      <c r="E191" s="1">
        <f t="shared" si="8"/>
        <v>1</v>
      </c>
    </row>
    <row r="192" spans="1:5" x14ac:dyDescent="0.25">
      <c r="A192" s="1">
        <v>190</v>
      </c>
      <c r="B192" s="1">
        <v>0.66979464398719157</v>
      </c>
      <c r="C192" s="1">
        <f t="shared" si="6"/>
        <v>2</v>
      </c>
      <c r="D192" s="1">
        <f t="shared" si="7"/>
        <v>4</v>
      </c>
      <c r="E192" s="1">
        <f t="shared" si="8"/>
        <v>1</v>
      </c>
    </row>
    <row r="193" spans="1:5" x14ac:dyDescent="0.25">
      <c r="A193" s="1">
        <v>191</v>
      </c>
      <c r="B193" s="1">
        <v>0.54269530367104402</v>
      </c>
      <c r="C193" s="1">
        <f t="shared" si="6"/>
        <v>2</v>
      </c>
      <c r="D193" s="1">
        <f t="shared" si="7"/>
        <v>4</v>
      </c>
      <c r="E193" s="1">
        <f t="shared" si="8"/>
        <v>1</v>
      </c>
    </row>
    <row r="194" spans="1:5" x14ac:dyDescent="0.25">
      <c r="A194" s="1">
        <v>192</v>
      </c>
      <c r="B194" s="1">
        <v>6.7783227754086961E-2</v>
      </c>
      <c r="C194" s="1">
        <f t="shared" si="6"/>
        <v>0</v>
      </c>
      <c r="D194" s="1">
        <f t="shared" si="7"/>
        <v>3</v>
      </c>
      <c r="E194" s="1">
        <f t="shared" si="8"/>
        <v>0</v>
      </c>
    </row>
    <row r="195" spans="1:5" x14ac:dyDescent="0.25">
      <c r="A195" s="1">
        <v>193</v>
      </c>
      <c r="B195" s="1">
        <v>0.35189815969250426</v>
      </c>
      <c r="C195" s="1">
        <f t="shared" si="6"/>
        <v>1</v>
      </c>
      <c r="D195" s="1">
        <f t="shared" si="7"/>
        <v>3</v>
      </c>
      <c r="E195" s="1">
        <f t="shared" si="8"/>
        <v>0</v>
      </c>
    </row>
    <row r="196" spans="1:5" x14ac:dyDescent="0.25">
      <c r="A196" s="1">
        <v>194</v>
      </c>
      <c r="B196" s="1">
        <v>0.17943799528255577</v>
      </c>
      <c r="C196" s="1">
        <f t="shared" ref="C196:C259" si="9">IF(B196&lt;$L$7,$L$5,IF(B196&lt;$M$7,$M$5,IF(B196&lt;$N$7,$N$5,$O$5)))</f>
        <v>0</v>
      </c>
      <c r="D196" s="1">
        <f t="shared" ref="D196:D259" si="10">MAX(0,MIN(D195+C196-$L$10,$L$9))</f>
        <v>2</v>
      </c>
      <c r="E196" s="1">
        <f t="shared" ref="E196:E259" si="11">MAX(D195+C196-$L$10-$L$9,0)</f>
        <v>0</v>
      </c>
    </row>
    <row r="197" spans="1:5" x14ac:dyDescent="0.25">
      <c r="A197" s="1">
        <v>195</v>
      </c>
      <c r="B197" s="1">
        <v>0.56681080623547142</v>
      </c>
      <c r="C197" s="1">
        <f t="shared" si="9"/>
        <v>2</v>
      </c>
      <c r="D197" s="1">
        <f t="shared" si="10"/>
        <v>3</v>
      </c>
      <c r="E197" s="1">
        <f t="shared" si="11"/>
        <v>0</v>
      </c>
    </row>
    <row r="198" spans="1:5" x14ac:dyDescent="0.25">
      <c r="A198" s="1">
        <v>196</v>
      </c>
      <c r="B198" s="1">
        <v>0.56673733500819246</v>
      </c>
      <c r="C198" s="1">
        <f t="shared" si="9"/>
        <v>2</v>
      </c>
      <c r="D198" s="1">
        <f t="shared" si="10"/>
        <v>4</v>
      </c>
      <c r="E198" s="1">
        <f t="shared" si="11"/>
        <v>0</v>
      </c>
    </row>
    <row r="199" spans="1:5" x14ac:dyDescent="0.25">
      <c r="A199" s="1">
        <v>197</v>
      </c>
      <c r="B199" s="1">
        <v>0.64867479284960039</v>
      </c>
      <c r="C199" s="1">
        <f t="shared" si="9"/>
        <v>2</v>
      </c>
      <c r="D199" s="1">
        <f t="shared" si="10"/>
        <v>4</v>
      </c>
      <c r="E199" s="1">
        <f t="shared" si="11"/>
        <v>1</v>
      </c>
    </row>
    <row r="200" spans="1:5" x14ac:dyDescent="0.25">
      <c r="A200" s="1">
        <v>198</v>
      </c>
      <c r="B200" s="1">
        <v>0.77919294870047151</v>
      </c>
      <c r="C200" s="1">
        <f t="shared" si="9"/>
        <v>3</v>
      </c>
      <c r="D200" s="1">
        <f t="shared" si="10"/>
        <v>4</v>
      </c>
      <c r="E200" s="1">
        <f t="shared" si="11"/>
        <v>2</v>
      </c>
    </row>
    <row r="201" spans="1:5" x14ac:dyDescent="0.25">
      <c r="A201" s="1">
        <v>199</v>
      </c>
      <c r="B201" s="1">
        <v>0.2972060666188705</v>
      </c>
      <c r="C201" s="1">
        <f t="shared" si="9"/>
        <v>1</v>
      </c>
      <c r="D201" s="1">
        <f t="shared" si="10"/>
        <v>4</v>
      </c>
      <c r="E201" s="1">
        <f t="shared" si="11"/>
        <v>0</v>
      </c>
    </row>
    <row r="202" spans="1:5" x14ac:dyDescent="0.25">
      <c r="A202" s="1">
        <v>200</v>
      </c>
      <c r="B202" s="1">
        <v>0.47219063047516618</v>
      </c>
      <c r="C202" s="1">
        <f t="shared" si="9"/>
        <v>1</v>
      </c>
      <c r="D202" s="1">
        <f t="shared" si="10"/>
        <v>4</v>
      </c>
      <c r="E202" s="1">
        <f t="shared" si="11"/>
        <v>0</v>
      </c>
    </row>
    <row r="203" spans="1:5" x14ac:dyDescent="0.25">
      <c r="A203" s="1">
        <v>201</v>
      </c>
      <c r="B203" s="1">
        <v>0.29335850401403796</v>
      </c>
      <c r="C203" s="1">
        <f t="shared" si="9"/>
        <v>1</v>
      </c>
      <c r="D203" s="1">
        <f t="shared" si="10"/>
        <v>4</v>
      </c>
      <c r="E203" s="1">
        <f t="shared" si="11"/>
        <v>0</v>
      </c>
    </row>
    <row r="204" spans="1:5" x14ac:dyDescent="0.25">
      <c r="A204" s="1">
        <v>202</v>
      </c>
      <c r="B204" s="1">
        <v>0.95057084369560862</v>
      </c>
      <c r="C204" s="1">
        <f t="shared" si="9"/>
        <v>3</v>
      </c>
      <c r="D204" s="1">
        <f t="shared" si="10"/>
        <v>4</v>
      </c>
      <c r="E204" s="1">
        <f t="shared" si="11"/>
        <v>2</v>
      </c>
    </row>
    <row r="205" spans="1:5" x14ac:dyDescent="0.25">
      <c r="A205" s="1">
        <v>203</v>
      </c>
      <c r="B205" s="1">
        <v>7.4216460094986836E-3</v>
      </c>
      <c r="C205" s="1">
        <f t="shared" si="9"/>
        <v>0</v>
      </c>
      <c r="D205" s="1">
        <f t="shared" si="10"/>
        <v>3</v>
      </c>
      <c r="E205" s="1">
        <f t="shared" si="11"/>
        <v>0</v>
      </c>
    </row>
    <row r="206" spans="1:5" x14ac:dyDescent="0.25">
      <c r="A206" s="1">
        <v>204</v>
      </c>
      <c r="B206" s="1">
        <v>0.45814244558388773</v>
      </c>
      <c r="C206" s="1">
        <f t="shared" si="9"/>
        <v>1</v>
      </c>
      <c r="D206" s="1">
        <f t="shared" si="10"/>
        <v>3</v>
      </c>
      <c r="E206" s="1">
        <f t="shared" si="11"/>
        <v>0</v>
      </c>
    </row>
    <row r="207" spans="1:5" x14ac:dyDescent="0.25">
      <c r="A207" s="1">
        <v>205</v>
      </c>
      <c r="B207" s="1">
        <v>0.49143827441898869</v>
      </c>
      <c r="C207" s="1">
        <f t="shared" si="9"/>
        <v>1</v>
      </c>
      <c r="D207" s="1">
        <f t="shared" si="10"/>
        <v>3</v>
      </c>
      <c r="E207" s="1">
        <f t="shared" si="11"/>
        <v>0</v>
      </c>
    </row>
    <row r="208" spans="1:5" x14ac:dyDescent="0.25">
      <c r="A208" s="1">
        <v>206</v>
      </c>
      <c r="B208" s="1">
        <v>0.95061942294183788</v>
      </c>
      <c r="C208" s="1">
        <f t="shared" si="9"/>
        <v>3</v>
      </c>
      <c r="D208" s="1">
        <f t="shared" si="10"/>
        <v>4</v>
      </c>
      <c r="E208" s="1">
        <f t="shared" si="11"/>
        <v>1</v>
      </c>
    </row>
    <row r="209" spans="1:5" x14ac:dyDescent="0.25">
      <c r="A209" s="1">
        <v>207</v>
      </c>
      <c r="B209" s="1">
        <v>0.55032515019339001</v>
      </c>
      <c r="C209" s="1">
        <f t="shared" si="9"/>
        <v>2</v>
      </c>
      <c r="D209" s="1">
        <f t="shared" si="10"/>
        <v>4</v>
      </c>
      <c r="E209" s="1">
        <f t="shared" si="11"/>
        <v>1</v>
      </c>
    </row>
    <row r="210" spans="1:5" x14ac:dyDescent="0.25">
      <c r="A210" s="1">
        <v>208</v>
      </c>
      <c r="B210" s="1">
        <v>0.60914426021138279</v>
      </c>
      <c r="C210" s="1">
        <f t="shared" si="9"/>
        <v>2</v>
      </c>
      <c r="D210" s="1">
        <f t="shared" si="10"/>
        <v>4</v>
      </c>
      <c r="E210" s="1">
        <f t="shared" si="11"/>
        <v>1</v>
      </c>
    </row>
    <row r="211" spans="1:5" x14ac:dyDescent="0.25">
      <c r="A211" s="1">
        <v>209</v>
      </c>
      <c r="B211" s="1">
        <v>0.83026689108449669</v>
      </c>
      <c r="C211" s="1">
        <f t="shared" si="9"/>
        <v>3</v>
      </c>
      <c r="D211" s="1">
        <f t="shared" si="10"/>
        <v>4</v>
      </c>
      <c r="E211" s="1">
        <f t="shared" si="11"/>
        <v>2</v>
      </c>
    </row>
    <row r="212" spans="1:5" x14ac:dyDescent="0.25">
      <c r="A212" s="1">
        <v>210</v>
      </c>
      <c r="B212" s="1">
        <v>0.59198597406524855</v>
      </c>
      <c r="C212" s="1">
        <f t="shared" si="9"/>
        <v>2</v>
      </c>
      <c r="D212" s="1">
        <f t="shared" si="10"/>
        <v>4</v>
      </c>
      <c r="E212" s="1">
        <f t="shared" si="11"/>
        <v>1</v>
      </c>
    </row>
    <row r="213" spans="1:5" x14ac:dyDescent="0.25">
      <c r="A213" s="1">
        <v>211</v>
      </c>
      <c r="B213" s="1">
        <v>0.46766977935644283</v>
      </c>
      <c r="C213" s="1">
        <f t="shared" si="9"/>
        <v>1</v>
      </c>
      <c r="D213" s="1">
        <f t="shared" si="10"/>
        <v>4</v>
      </c>
      <c r="E213" s="1">
        <f t="shared" si="11"/>
        <v>0</v>
      </c>
    </row>
    <row r="214" spans="1:5" x14ac:dyDescent="0.25">
      <c r="A214" s="1">
        <v>212</v>
      </c>
      <c r="B214" s="1">
        <v>0.25557804850844323</v>
      </c>
      <c r="C214" s="1">
        <f t="shared" si="9"/>
        <v>1</v>
      </c>
      <c r="D214" s="1">
        <f t="shared" si="10"/>
        <v>4</v>
      </c>
      <c r="E214" s="1">
        <f t="shared" si="11"/>
        <v>0</v>
      </c>
    </row>
    <row r="215" spans="1:5" x14ac:dyDescent="0.25">
      <c r="A215" s="1">
        <v>213</v>
      </c>
      <c r="B215" s="1">
        <v>0.89361705989788698</v>
      </c>
      <c r="C215" s="1">
        <f t="shared" si="9"/>
        <v>3</v>
      </c>
      <c r="D215" s="1">
        <f t="shared" si="10"/>
        <v>4</v>
      </c>
      <c r="E215" s="1">
        <f t="shared" si="11"/>
        <v>2</v>
      </c>
    </row>
    <row r="216" spans="1:5" x14ac:dyDescent="0.25">
      <c r="A216" s="1">
        <v>214</v>
      </c>
      <c r="B216" s="1">
        <v>0.88305225529588172</v>
      </c>
      <c r="C216" s="1">
        <f t="shared" si="9"/>
        <v>3</v>
      </c>
      <c r="D216" s="1">
        <f t="shared" si="10"/>
        <v>4</v>
      </c>
      <c r="E216" s="1">
        <f t="shared" si="11"/>
        <v>2</v>
      </c>
    </row>
    <row r="217" spans="1:5" x14ac:dyDescent="0.25">
      <c r="A217" s="1">
        <v>215</v>
      </c>
      <c r="B217" s="1">
        <v>0.25751834435925391</v>
      </c>
      <c r="C217" s="1">
        <f t="shared" si="9"/>
        <v>1</v>
      </c>
      <c r="D217" s="1">
        <f t="shared" si="10"/>
        <v>4</v>
      </c>
      <c r="E217" s="1">
        <f t="shared" si="11"/>
        <v>0</v>
      </c>
    </row>
    <row r="218" spans="1:5" x14ac:dyDescent="0.25">
      <c r="A218" s="1">
        <v>216</v>
      </c>
      <c r="B218" s="1">
        <v>2.7715248974803264E-2</v>
      </c>
      <c r="C218" s="1">
        <f t="shared" si="9"/>
        <v>0</v>
      </c>
      <c r="D218" s="1">
        <f t="shared" si="10"/>
        <v>3</v>
      </c>
      <c r="E218" s="1">
        <f t="shared" si="11"/>
        <v>0</v>
      </c>
    </row>
    <row r="219" spans="1:5" x14ac:dyDescent="0.25">
      <c r="A219" s="1">
        <v>217</v>
      </c>
      <c r="B219" s="1">
        <v>0.93027141169997951</v>
      </c>
      <c r="C219" s="1">
        <f t="shared" si="9"/>
        <v>3</v>
      </c>
      <c r="D219" s="1">
        <f t="shared" si="10"/>
        <v>4</v>
      </c>
      <c r="E219" s="1">
        <f t="shared" si="11"/>
        <v>1</v>
      </c>
    </row>
    <row r="220" spans="1:5" x14ac:dyDescent="0.25">
      <c r="A220" s="1">
        <v>218</v>
      </c>
      <c r="B220" s="1">
        <v>0.94465219595513916</v>
      </c>
      <c r="C220" s="1">
        <f t="shared" si="9"/>
        <v>3</v>
      </c>
      <c r="D220" s="1">
        <f t="shared" si="10"/>
        <v>4</v>
      </c>
      <c r="E220" s="1">
        <f t="shared" si="11"/>
        <v>2</v>
      </c>
    </row>
    <row r="221" spans="1:5" x14ac:dyDescent="0.25">
      <c r="A221" s="1">
        <v>219</v>
      </c>
      <c r="B221" s="1">
        <v>0.72201689388005319</v>
      </c>
      <c r="C221" s="1">
        <f t="shared" si="9"/>
        <v>2</v>
      </c>
      <c r="D221" s="1">
        <f t="shared" si="10"/>
        <v>4</v>
      </c>
      <c r="E221" s="1">
        <f t="shared" si="11"/>
        <v>1</v>
      </c>
    </row>
    <row r="222" spans="1:5" x14ac:dyDescent="0.25">
      <c r="A222" s="1">
        <v>220</v>
      </c>
      <c r="B222" s="1">
        <v>0.69586457618703368</v>
      </c>
      <c r="C222" s="1">
        <f t="shared" si="9"/>
        <v>2</v>
      </c>
      <c r="D222" s="1">
        <f t="shared" si="10"/>
        <v>4</v>
      </c>
      <c r="E222" s="1">
        <f t="shared" si="11"/>
        <v>1</v>
      </c>
    </row>
    <row r="223" spans="1:5" x14ac:dyDescent="0.25">
      <c r="A223" s="1">
        <v>221</v>
      </c>
      <c r="B223" s="1">
        <v>7.3933354927813943E-2</v>
      </c>
      <c r="C223" s="1">
        <f t="shared" si="9"/>
        <v>0</v>
      </c>
      <c r="D223" s="1">
        <f t="shared" si="10"/>
        <v>3</v>
      </c>
      <c r="E223" s="1">
        <f t="shared" si="11"/>
        <v>0</v>
      </c>
    </row>
    <row r="224" spans="1:5" x14ac:dyDescent="0.25">
      <c r="A224" s="1">
        <v>222</v>
      </c>
      <c r="B224" s="1">
        <v>0.75234278080999428</v>
      </c>
      <c r="C224" s="1">
        <f t="shared" si="9"/>
        <v>3</v>
      </c>
      <c r="D224" s="1">
        <f t="shared" si="10"/>
        <v>4</v>
      </c>
      <c r="E224" s="1">
        <f t="shared" si="11"/>
        <v>1</v>
      </c>
    </row>
    <row r="225" spans="1:5" x14ac:dyDescent="0.25">
      <c r="A225" s="1">
        <v>223</v>
      </c>
      <c r="B225" s="1">
        <v>0.77689659771042785</v>
      </c>
      <c r="C225" s="1">
        <f t="shared" si="9"/>
        <v>3</v>
      </c>
      <c r="D225" s="1">
        <f t="shared" si="10"/>
        <v>4</v>
      </c>
      <c r="E225" s="1">
        <f t="shared" si="11"/>
        <v>2</v>
      </c>
    </row>
    <row r="226" spans="1:5" x14ac:dyDescent="0.25">
      <c r="A226" s="1">
        <v>224</v>
      </c>
      <c r="B226" s="1">
        <v>0.38138853997221256</v>
      </c>
      <c r="C226" s="1">
        <f t="shared" si="9"/>
        <v>1</v>
      </c>
      <c r="D226" s="1">
        <f t="shared" si="10"/>
        <v>4</v>
      </c>
      <c r="E226" s="1">
        <f t="shared" si="11"/>
        <v>0</v>
      </c>
    </row>
    <row r="227" spans="1:5" x14ac:dyDescent="0.25">
      <c r="A227" s="1">
        <v>225</v>
      </c>
      <c r="B227" s="1">
        <v>0.24367470373640199</v>
      </c>
      <c r="C227" s="1">
        <f t="shared" si="9"/>
        <v>0</v>
      </c>
      <c r="D227" s="1">
        <f t="shared" si="10"/>
        <v>3</v>
      </c>
      <c r="E227" s="1">
        <f t="shared" si="11"/>
        <v>0</v>
      </c>
    </row>
    <row r="228" spans="1:5" x14ac:dyDescent="0.25">
      <c r="A228" s="1">
        <v>226</v>
      </c>
      <c r="B228" s="1">
        <v>0.89026243828446494</v>
      </c>
      <c r="C228" s="1">
        <f t="shared" si="9"/>
        <v>3</v>
      </c>
      <c r="D228" s="1">
        <f t="shared" si="10"/>
        <v>4</v>
      </c>
      <c r="E228" s="1">
        <f t="shared" si="11"/>
        <v>1</v>
      </c>
    </row>
    <row r="229" spans="1:5" x14ac:dyDescent="0.25">
      <c r="A229" s="1">
        <v>227</v>
      </c>
      <c r="B229" s="1">
        <v>0.90283691433939262</v>
      </c>
      <c r="C229" s="1">
        <f t="shared" si="9"/>
        <v>3</v>
      </c>
      <c r="D229" s="1">
        <f t="shared" si="10"/>
        <v>4</v>
      </c>
      <c r="E229" s="1">
        <f t="shared" si="11"/>
        <v>2</v>
      </c>
    </row>
    <row r="230" spans="1:5" x14ac:dyDescent="0.25">
      <c r="A230" s="1">
        <v>228</v>
      </c>
      <c r="B230" s="1">
        <v>0.83520726920029875</v>
      </c>
      <c r="C230" s="1">
        <f t="shared" si="9"/>
        <v>3</v>
      </c>
      <c r="D230" s="1">
        <f t="shared" si="10"/>
        <v>4</v>
      </c>
      <c r="E230" s="1">
        <f t="shared" si="11"/>
        <v>2</v>
      </c>
    </row>
    <row r="231" spans="1:5" x14ac:dyDescent="0.25">
      <c r="A231" s="1">
        <v>229</v>
      </c>
      <c r="B231" s="1">
        <v>0.81176488453099893</v>
      </c>
      <c r="C231" s="1">
        <f t="shared" si="9"/>
        <v>3</v>
      </c>
      <c r="D231" s="1">
        <f t="shared" si="10"/>
        <v>4</v>
      </c>
      <c r="E231" s="1">
        <f t="shared" si="11"/>
        <v>2</v>
      </c>
    </row>
    <row r="232" spans="1:5" x14ac:dyDescent="0.25">
      <c r="A232" s="1">
        <v>230</v>
      </c>
      <c r="B232" s="1">
        <v>0.25034997709456719</v>
      </c>
      <c r="C232" s="1">
        <f t="shared" si="9"/>
        <v>1</v>
      </c>
      <c r="D232" s="1">
        <f t="shared" si="10"/>
        <v>4</v>
      </c>
      <c r="E232" s="1">
        <f t="shared" si="11"/>
        <v>0</v>
      </c>
    </row>
    <row r="233" spans="1:5" x14ac:dyDescent="0.25">
      <c r="A233" s="1">
        <v>231</v>
      </c>
      <c r="B233" s="1">
        <v>4.8897642380460793E-2</v>
      </c>
      <c r="C233" s="1">
        <f t="shared" si="9"/>
        <v>0</v>
      </c>
      <c r="D233" s="1">
        <f t="shared" si="10"/>
        <v>3</v>
      </c>
      <c r="E233" s="1">
        <f t="shared" si="11"/>
        <v>0</v>
      </c>
    </row>
    <row r="234" spans="1:5" x14ac:dyDescent="0.25">
      <c r="A234" s="1">
        <v>232</v>
      </c>
      <c r="B234" s="1">
        <v>0.90431910397423709</v>
      </c>
      <c r="C234" s="1">
        <f t="shared" si="9"/>
        <v>3</v>
      </c>
      <c r="D234" s="1">
        <f t="shared" si="10"/>
        <v>4</v>
      </c>
      <c r="E234" s="1">
        <f t="shared" si="11"/>
        <v>1</v>
      </c>
    </row>
    <row r="235" spans="1:5" x14ac:dyDescent="0.25">
      <c r="A235" s="1">
        <v>233</v>
      </c>
      <c r="B235" s="1">
        <v>4.4756140756285645E-2</v>
      </c>
      <c r="C235" s="1">
        <f t="shared" si="9"/>
        <v>0</v>
      </c>
      <c r="D235" s="1">
        <f t="shared" si="10"/>
        <v>3</v>
      </c>
      <c r="E235" s="1">
        <f t="shared" si="11"/>
        <v>0</v>
      </c>
    </row>
    <row r="236" spans="1:5" x14ac:dyDescent="0.25">
      <c r="A236" s="1">
        <v>234</v>
      </c>
      <c r="B236" s="1">
        <v>0.74398751971389865</v>
      </c>
      <c r="C236" s="1">
        <f t="shared" si="9"/>
        <v>2</v>
      </c>
      <c r="D236" s="1">
        <f t="shared" si="10"/>
        <v>4</v>
      </c>
      <c r="E236" s="1">
        <f t="shared" si="11"/>
        <v>0</v>
      </c>
    </row>
    <row r="237" spans="1:5" x14ac:dyDescent="0.25">
      <c r="A237" s="1">
        <v>235</v>
      </c>
      <c r="B237" s="1">
        <v>0.89171195829040062</v>
      </c>
      <c r="C237" s="1">
        <f t="shared" si="9"/>
        <v>3</v>
      </c>
      <c r="D237" s="1">
        <f t="shared" si="10"/>
        <v>4</v>
      </c>
      <c r="E237" s="1">
        <f t="shared" si="11"/>
        <v>2</v>
      </c>
    </row>
    <row r="238" spans="1:5" x14ac:dyDescent="0.25">
      <c r="A238" s="1">
        <v>236</v>
      </c>
      <c r="B238" s="1">
        <v>0.86825178158005789</v>
      </c>
      <c r="C238" s="1">
        <f t="shared" si="9"/>
        <v>3</v>
      </c>
      <c r="D238" s="1">
        <f t="shared" si="10"/>
        <v>4</v>
      </c>
      <c r="E238" s="1">
        <f t="shared" si="11"/>
        <v>2</v>
      </c>
    </row>
    <row r="239" spans="1:5" x14ac:dyDescent="0.25">
      <c r="A239" s="1">
        <v>237</v>
      </c>
      <c r="B239" s="1">
        <v>0.65158413306106755</v>
      </c>
      <c r="C239" s="1">
        <f t="shared" si="9"/>
        <v>2</v>
      </c>
      <c r="D239" s="1">
        <f t="shared" si="10"/>
        <v>4</v>
      </c>
      <c r="E239" s="1">
        <f t="shared" si="11"/>
        <v>1</v>
      </c>
    </row>
    <row r="240" spans="1:5" x14ac:dyDescent="0.25">
      <c r="A240" s="1">
        <v>238</v>
      </c>
      <c r="B240" s="1">
        <v>0.78112174838764059</v>
      </c>
      <c r="C240" s="1">
        <f t="shared" si="9"/>
        <v>3</v>
      </c>
      <c r="D240" s="1">
        <f t="shared" si="10"/>
        <v>4</v>
      </c>
      <c r="E240" s="1">
        <f t="shared" si="11"/>
        <v>2</v>
      </c>
    </row>
    <row r="241" spans="1:5" x14ac:dyDescent="0.25">
      <c r="A241" s="1">
        <v>239</v>
      </c>
      <c r="B241" s="1">
        <v>0.52524346786576936</v>
      </c>
      <c r="C241" s="1">
        <f t="shared" si="9"/>
        <v>2</v>
      </c>
      <c r="D241" s="1">
        <f t="shared" si="10"/>
        <v>4</v>
      </c>
      <c r="E241" s="1">
        <f t="shared" si="11"/>
        <v>1</v>
      </c>
    </row>
    <row r="242" spans="1:5" x14ac:dyDescent="0.25">
      <c r="A242" s="1">
        <v>240</v>
      </c>
      <c r="B242" s="1">
        <v>0.53346236682524384</v>
      </c>
      <c r="C242" s="1">
        <f t="shared" si="9"/>
        <v>2</v>
      </c>
      <c r="D242" s="1">
        <f t="shared" si="10"/>
        <v>4</v>
      </c>
      <c r="E242" s="1">
        <f t="shared" si="11"/>
        <v>1</v>
      </c>
    </row>
    <row r="243" spans="1:5" x14ac:dyDescent="0.25">
      <c r="A243" s="1">
        <v>241</v>
      </c>
      <c r="B243" s="1">
        <v>0.95130849394292594</v>
      </c>
      <c r="C243" s="1">
        <f t="shared" si="9"/>
        <v>3</v>
      </c>
      <c r="D243" s="1">
        <f t="shared" si="10"/>
        <v>4</v>
      </c>
      <c r="E243" s="1">
        <f t="shared" si="11"/>
        <v>2</v>
      </c>
    </row>
    <row r="244" spans="1:5" x14ac:dyDescent="0.25">
      <c r="A244" s="1">
        <v>242</v>
      </c>
      <c r="B244" s="1">
        <v>0.15522010515712192</v>
      </c>
      <c r="C244" s="1">
        <f t="shared" si="9"/>
        <v>0</v>
      </c>
      <c r="D244" s="1">
        <f t="shared" si="10"/>
        <v>3</v>
      </c>
      <c r="E244" s="1">
        <f t="shared" si="11"/>
        <v>0</v>
      </c>
    </row>
    <row r="245" spans="1:5" x14ac:dyDescent="0.25">
      <c r="A245" s="1">
        <v>243</v>
      </c>
      <c r="B245" s="1">
        <v>0.41264366752811543</v>
      </c>
      <c r="C245" s="1">
        <f t="shared" si="9"/>
        <v>1</v>
      </c>
      <c r="D245" s="1">
        <f t="shared" si="10"/>
        <v>3</v>
      </c>
      <c r="E245" s="1">
        <f t="shared" si="11"/>
        <v>0</v>
      </c>
    </row>
    <row r="246" spans="1:5" x14ac:dyDescent="0.25">
      <c r="A246" s="1">
        <v>244</v>
      </c>
      <c r="B246" s="1">
        <v>0.8218462652394114</v>
      </c>
      <c r="C246" s="1">
        <f t="shared" si="9"/>
        <v>3</v>
      </c>
      <c r="D246" s="1">
        <f t="shared" si="10"/>
        <v>4</v>
      </c>
      <c r="E246" s="1">
        <f t="shared" si="11"/>
        <v>1</v>
      </c>
    </row>
    <row r="247" spans="1:5" x14ac:dyDescent="0.25">
      <c r="A247" s="1">
        <v>245</v>
      </c>
      <c r="B247" s="1">
        <v>0.67471547960310785</v>
      </c>
      <c r="C247" s="1">
        <f t="shared" si="9"/>
        <v>2</v>
      </c>
      <c r="D247" s="1">
        <f t="shared" si="10"/>
        <v>4</v>
      </c>
      <c r="E247" s="1">
        <f t="shared" si="11"/>
        <v>1</v>
      </c>
    </row>
    <row r="248" spans="1:5" x14ac:dyDescent="0.25">
      <c r="A248" s="1">
        <v>246</v>
      </c>
      <c r="B248" s="1">
        <v>0.69993763134277465</v>
      </c>
      <c r="C248" s="1">
        <f t="shared" si="9"/>
        <v>2</v>
      </c>
      <c r="D248" s="1">
        <f t="shared" si="10"/>
        <v>4</v>
      </c>
      <c r="E248" s="1">
        <f t="shared" si="11"/>
        <v>1</v>
      </c>
    </row>
    <row r="249" spans="1:5" x14ac:dyDescent="0.25">
      <c r="A249" s="1">
        <v>247</v>
      </c>
      <c r="B249" s="1">
        <v>0.77923242997573661</v>
      </c>
      <c r="C249" s="1">
        <f t="shared" si="9"/>
        <v>3</v>
      </c>
      <c r="D249" s="1">
        <f t="shared" si="10"/>
        <v>4</v>
      </c>
      <c r="E249" s="1">
        <f t="shared" si="11"/>
        <v>2</v>
      </c>
    </row>
    <row r="250" spans="1:5" x14ac:dyDescent="0.25">
      <c r="A250" s="1">
        <v>248</v>
      </c>
      <c r="B250" s="1">
        <v>0.74805576510180005</v>
      </c>
      <c r="C250" s="1">
        <f t="shared" si="9"/>
        <v>2</v>
      </c>
      <c r="D250" s="1">
        <f t="shared" si="10"/>
        <v>4</v>
      </c>
      <c r="E250" s="1">
        <f t="shared" si="11"/>
        <v>1</v>
      </c>
    </row>
    <row r="251" spans="1:5" x14ac:dyDescent="0.25">
      <c r="A251" s="1">
        <v>249</v>
      </c>
      <c r="B251" s="1">
        <v>0.20908842527126315</v>
      </c>
      <c r="C251" s="1">
        <f t="shared" si="9"/>
        <v>0</v>
      </c>
      <c r="D251" s="1">
        <f t="shared" si="10"/>
        <v>3</v>
      </c>
      <c r="E251" s="1">
        <f t="shared" si="11"/>
        <v>0</v>
      </c>
    </row>
    <row r="252" spans="1:5" x14ac:dyDescent="0.25">
      <c r="A252" s="1">
        <v>250</v>
      </c>
      <c r="B252" s="1">
        <v>0.5210842837430234</v>
      </c>
      <c r="C252" s="1">
        <f t="shared" si="9"/>
        <v>2</v>
      </c>
      <c r="D252" s="1">
        <f t="shared" si="10"/>
        <v>4</v>
      </c>
      <c r="E252" s="1">
        <f t="shared" si="11"/>
        <v>0</v>
      </c>
    </row>
    <row r="253" spans="1:5" x14ac:dyDescent="0.25">
      <c r="A253" s="1">
        <v>251</v>
      </c>
      <c r="B253" s="1">
        <v>0.56706541793389564</v>
      </c>
      <c r="C253" s="1">
        <f t="shared" si="9"/>
        <v>2</v>
      </c>
      <c r="D253" s="1">
        <f t="shared" si="10"/>
        <v>4</v>
      </c>
      <c r="E253" s="1">
        <f t="shared" si="11"/>
        <v>1</v>
      </c>
    </row>
    <row r="254" spans="1:5" x14ac:dyDescent="0.25">
      <c r="A254" s="1">
        <v>252</v>
      </c>
      <c r="B254" s="1">
        <v>0.60784744642424071</v>
      </c>
      <c r="C254" s="1">
        <f t="shared" si="9"/>
        <v>2</v>
      </c>
      <c r="D254" s="1">
        <f t="shared" si="10"/>
        <v>4</v>
      </c>
      <c r="E254" s="1">
        <f t="shared" si="11"/>
        <v>1</v>
      </c>
    </row>
    <row r="255" spans="1:5" x14ac:dyDescent="0.25">
      <c r="A255" s="1">
        <v>253</v>
      </c>
      <c r="B255" s="1">
        <v>0.66357182979980256</v>
      </c>
      <c r="C255" s="1">
        <f t="shared" si="9"/>
        <v>2</v>
      </c>
      <c r="D255" s="1">
        <f t="shared" si="10"/>
        <v>4</v>
      </c>
      <c r="E255" s="1">
        <f t="shared" si="11"/>
        <v>1</v>
      </c>
    </row>
    <row r="256" spans="1:5" x14ac:dyDescent="0.25">
      <c r="A256" s="1">
        <v>254</v>
      </c>
      <c r="B256" s="1">
        <v>2.2662911120786666E-2</v>
      </c>
      <c r="C256" s="1">
        <f t="shared" si="9"/>
        <v>0</v>
      </c>
      <c r="D256" s="1">
        <f t="shared" si="10"/>
        <v>3</v>
      </c>
      <c r="E256" s="1">
        <f t="shared" si="11"/>
        <v>0</v>
      </c>
    </row>
    <row r="257" spans="1:5" x14ac:dyDescent="0.25">
      <c r="A257" s="1">
        <v>255</v>
      </c>
      <c r="B257" s="1">
        <v>0.49841441881577642</v>
      </c>
      <c r="C257" s="1">
        <f t="shared" si="9"/>
        <v>1</v>
      </c>
      <c r="D257" s="1">
        <f t="shared" si="10"/>
        <v>3</v>
      </c>
      <c r="E257" s="1">
        <f t="shared" si="11"/>
        <v>0</v>
      </c>
    </row>
    <row r="258" spans="1:5" x14ac:dyDescent="0.25">
      <c r="A258" s="1">
        <v>256</v>
      </c>
      <c r="B258" s="1">
        <v>0.42940277060909082</v>
      </c>
      <c r="C258" s="1">
        <f t="shared" si="9"/>
        <v>1</v>
      </c>
      <c r="D258" s="1">
        <f t="shared" si="10"/>
        <v>3</v>
      </c>
      <c r="E258" s="1">
        <f t="shared" si="11"/>
        <v>0</v>
      </c>
    </row>
    <row r="259" spans="1:5" x14ac:dyDescent="0.25">
      <c r="A259" s="1">
        <v>257</v>
      </c>
      <c r="B259" s="1">
        <v>7.35629591336181E-2</v>
      </c>
      <c r="C259" s="1">
        <f t="shared" si="9"/>
        <v>0</v>
      </c>
      <c r="D259" s="1">
        <f t="shared" si="10"/>
        <v>2</v>
      </c>
      <c r="E259" s="1">
        <f t="shared" si="11"/>
        <v>0</v>
      </c>
    </row>
    <row r="260" spans="1:5" x14ac:dyDescent="0.25">
      <c r="A260" s="1">
        <v>258</v>
      </c>
      <c r="B260" s="1">
        <v>0.59476988605980963</v>
      </c>
      <c r="C260" s="1">
        <f t="shared" ref="C260:C323" si="12">IF(B260&lt;$L$7,$L$5,IF(B260&lt;$M$7,$M$5,IF(B260&lt;$N$7,$N$5,$O$5)))</f>
        <v>2</v>
      </c>
      <c r="D260" s="1">
        <f t="shared" ref="D260:D323" si="13">MAX(0,MIN(D259+C260-$L$10,$L$9))</f>
        <v>3</v>
      </c>
      <c r="E260" s="1">
        <f t="shared" ref="E260:E323" si="14">MAX(D259+C260-$L$10-$L$9,0)</f>
        <v>0</v>
      </c>
    </row>
    <row r="261" spans="1:5" x14ac:dyDescent="0.25">
      <c r="A261" s="1">
        <v>259</v>
      </c>
      <c r="B261" s="1">
        <v>0.95267724270509002</v>
      </c>
      <c r="C261" s="1">
        <f t="shared" si="12"/>
        <v>3</v>
      </c>
      <c r="D261" s="1">
        <f t="shared" si="13"/>
        <v>4</v>
      </c>
      <c r="E261" s="1">
        <f t="shared" si="14"/>
        <v>1</v>
      </c>
    </row>
    <row r="262" spans="1:5" x14ac:dyDescent="0.25">
      <c r="A262" s="1">
        <v>260</v>
      </c>
      <c r="B262" s="1">
        <v>0.32269379616379479</v>
      </c>
      <c r="C262" s="1">
        <f t="shared" si="12"/>
        <v>1</v>
      </c>
      <c r="D262" s="1">
        <f t="shared" si="13"/>
        <v>4</v>
      </c>
      <c r="E262" s="1">
        <f t="shared" si="14"/>
        <v>0</v>
      </c>
    </row>
    <row r="263" spans="1:5" x14ac:dyDescent="0.25">
      <c r="A263" s="1">
        <v>261</v>
      </c>
      <c r="B263" s="1">
        <v>1.5005569911260674E-2</v>
      </c>
      <c r="C263" s="1">
        <f t="shared" si="12"/>
        <v>0</v>
      </c>
      <c r="D263" s="1">
        <f t="shared" si="13"/>
        <v>3</v>
      </c>
      <c r="E263" s="1">
        <f t="shared" si="14"/>
        <v>0</v>
      </c>
    </row>
    <row r="264" spans="1:5" x14ac:dyDescent="0.25">
      <c r="A264" s="1">
        <v>262</v>
      </c>
      <c r="B264" s="1">
        <v>0.2122408493774145</v>
      </c>
      <c r="C264" s="1">
        <f t="shared" si="12"/>
        <v>0</v>
      </c>
      <c r="D264" s="1">
        <f t="shared" si="13"/>
        <v>2</v>
      </c>
      <c r="E264" s="1">
        <f t="shared" si="14"/>
        <v>0</v>
      </c>
    </row>
    <row r="265" spans="1:5" x14ac:dyDescent="0.25">
      <c r="A265" s="1">
        <v>263</v>
      </c>
      <c r="B265" s="1">
        <v>0.99851353090422335</v>
      </c>
      <c r="C265" s="1">
        <f t="shared" si="12"/>
        <v>3</v>
      </c>
      <c r="D265" s="1">
        <f t="shared" si="13"/>
        <v>4</v>
      </c>
      <c r="E265" s="1">
        <f t="shared" si="14"/>
        <v>0</v>
      </c>
    </row>
    <row r="266" spans="1:5" x14ac:dyDescent="0.25">
      <c r="A266" s="1">
        <v>264</v>
      </c>
      <c r="B266" s="1">
        <v>0.84079796132787366</v>
      </c>
      <c r="C266" s="1">
        <f t="shared" si="12"/>
        <v>3</v>
      </c>
      <c r="D266" s="1">
        <f t="shared" si="13"/>
        <v>4</v>
      </c>
      <c r="E266" s="1">
        <f t="shared" si="14"/>
        <v>2</v>
      </c>
    </row>
    <row r="267" spans="1:5" x14ac:dyDescent="0.25">
      <c r="A267" s="1">
        <v>265</v>
      </c>
      <c r="B267" s="1">
        <v>0.93057941889326545</v>
      </c>
      <c r="C267" s="1">
        <f t="shared" si="12"/>
        <v>3</v>
      </c>
      <c r="D267" s="1">
        <f t="shared" si="13"/>
        <v>4</v>
      </c>
      <c r="E267" s="1">
        <f t="shared" si="14"/>
        <v>2</v>
      </c>
    </row>
    <row r="268" spans="1:5" x14ac:dyDescent="0.25">
      <c r="A268" s="1">
        <v>266</v>
      </c>
      <c r="B268" s="1">
        <v>0.45359747779499049</v>
      </c>
      <c r="C268" s="1">
        <f t="shared" si="12"/>
        <v>1</v>
      </c>
      <c r="D268" s="1">
        <f t="shared" si="13"/>
        <v>4</v>
      </c>
      <c r="E268" s="1">
        <f t="shared" si="14"/>
        <v>0</v>
      </c>
    </row>
    <row r="269" spans="1:5" x14ac:dyDescent="0.25">
      <c r="A269" s="1">
        <v>267</v>
      </c>
      <c r="B269" s="1">
        <v>0.51393409752753993</v>
      </c>
      <c r="C269" s="1">
        <f t="shared" si="12"/>
        <v>2</v>
      </c>
      <c r="D269" s="1">
        <f t="shared" si="13"/>
        <v>4</v>
      </c>
      <c r="E269" s="1">
        <f t="shared" si="14"/>
        <v>1</v>
      </c>
    </row>
    <row r="270" spans="1:5" x14ac:dyDescent="0.25">
      <c r="A270" s="1">
        <v>268</v>
      </c>
      <c r="B270" s="1">
        <v>0.55101543501925931</v>
      </c>
      <c r="C270" s="1">
        <f t="shared" si="12"/>
        <v>2</v>
      </c>
      <c r="D270" s="1">
        <f t="shared" si="13"/>
        <v>4</v>
      </c>
      <c r="E270" s="1">
        <f t="shared" si="14"/>
        <v>1</v>
      </c>
    </row>
    <row r="271" spans="1:5" x14ac:dyDescent="0.25">
      <c r="A271" s="1">
        <v>269</v>
      </c>
      <c r="B271" s="1">
        <v>0.66050397901881863</v>
      </c>
      <c r="C271" s="1">
        <f t="shared" si="12"/>
        <v>2</v>
      </c>
      <c r="D271" s="1">
        <f t="shared" si="13"/>
        <v>4</v>
      </c>
      <c r="E271" s="1">
        <f t="shared" si="14"/>
        <v>1</v>
      </c>
    </row>
    <row r="272" spans="1:5" x14ac:dyDescent="0.25">
      <c r="A272" s="1">
        <v>270</v>
      </c>
      <c r="B272" s="1">
        <v>6.0088924415624301E-2</v>
      </c>
      <c r="C272" s="1">
        <f t="shared" si="12"/>
        <v>0</v>
      </c>
      <c r="D272" s="1">
        <f t="shared" si="13"/>
        <v>3</v>
      </c>
      <c r="E272" s="1">
        <f t="shared" si="14"/>
        <v>0</v>
      </c>
    </row>
    <row r="273" spans="1:5" x14ac:dyDescent="0.25">
      <c r="A273" s="1">
        <v>271</v>
      </c>
      <c r="B273" s="1">
        <v>7.378978087570276E-2</v>
      </c>
      <c r="C273" s="1">
        <f t="shared" si="12"/>
        <v>0</v>
      </c>
      <c r="D273" s="1">
        <f t="shared" si="13"/>
        <v>2</v>
      </c>
      <c r="E273" s="1">
        <f t="shared" si="14"/>
        <v>0</v>
      </c>
    </row>
    <row r="274" spans="1:5" x14ac:dyDescent="0.25">
      <c r="A274" s="1">
        <v>272</v>
      </c>
      <c r="B274" s="1">
        <v>0.77041892988003724</v>
      </c>
      <c r="C274" s="1">
        <f t="shared" si="12"/>
        <v>3</v>
      </c>
      <c r="D274" s="1">
        <f t="shared" si="13"/>
        <v>4</v>
      </c>
      <c r="E274" s="1">
        <f t="shared" si="14"/>
        <v>0</v>
      </c>
    </row>
    <row r="275" spans="1:5" x14ac:dyDescent="0.25">
      <c r="A275" s="1">
        <v>273</v>
      </c>
      <c r="B275" s="1">
        <v>0.69199927339240774</v>
      </c>
      <c r="C275" s="1">
        <f t="shared" si="12"/>
        <v>2</v>
      </c>
      <c r="D275" s="1">
        <f t="shared" si="13"/>
        <v>4</v>
      </c>
      <c r="E275" s="1">
        <f t="shared" si="14"/>
        <v>1</v>
      </c>
    </row>
    <row r="276" spans="1:5" x14ac:dyDescent="0.25">
      <c r="A276" s="1">
        <v>274</v>
      </c>
      <c r="B276" s="1">
        <v>0.26336608576096909</v>
      </c>
      <c r="C276" s="1">
        <f t="shared" si="12"/>
        <v>1</v>
      </c>
      <c r="D276" s="1">
        <f t="shared" si="13"/>
        <v>4</v>
      </c>
      <c r="E276" s="1">
        <f t="shared" si="14"/>
        <v>0</v>
      </c>
    </row>
    <row r="277" spans="1:5" x14ac:dyDescent="0.25">
      <c r="A277" s="1">
        <v>275</v>
      </c>
      <c r="B277" s="1">
        <v>0.52726627815777849</v>
      </c>
      <c r="C277" s="1">
        <f t="shared" si="12"/>
        <v>2</v>
      </c>
      <c r="D277" s="1">
        <f t="shared" si="13"/>
        <v>4</v>
      </c>
      <c r="E277" s="1">
        <f t="shared" si="14"/>
        <v>1</v>
      </c>
    </row>
    <row r="278" spans="1:5" x14ac:dyDescent="0.25">
      <c r="A278" s="1">
        <v>276</v>
      </c>
      <c r="B278" s="1">
        <v>0.16096267951738197</v>
      </c>
      <c r="C278" s="1">
        <f t="shared" si="12"/>
        <v>0</v>
      </c>
      <c r="D278" s="1">
        <f t="shared" si="13"/>
        <v>3</v>
      </c>
      <c r="E278" s="1">
        <f t="shared" si="14"/>
        <v>0</v>
      </c>
    </row>
    <row r="279" spans="1:5" x14ac:dyDescent="0.25">
      <c r="A279" s="1">
        <v>277</v>
      </c>
      <c r="B279" s="1">
        <v>0.91182509932017486</v>
      </c>
      <c r="C279" s="1">
        <f t="shared" si="12"/>
        <v>3</v>
      </c>
      <c r="D279" s="1">
        <f t="shared" si="13"/>
        <v>4</v>
      </c>
      <c r="E279" s="1">
        <f t="shared" si="14"/>
        <v>1</v>
      </c>
    </row>
    <row r="280" spans="1:5" x14ac:dyDescent="0.25">
      <c r="A280" s="1">
        <v>278</v>
      </c>
      <c r="B280" s="1">
        <v>4.9097393572872794E-2</v>
      </c>
      <c r="C280" s="1">
        <f t="shared" si="12"/>
        <v>0</v>
      </c>
      <c r="D280" s="1">
        <f t="shared" si="13"/>
        <v>3</v>
      </c>
      <c r="E280" s="1">
        <f t="shared" si="14"/>
        <v>0</v>
      </c>
    </row>
    <row r="281" spans="1:5" x14ac:dyDescent="0.25">
      <c r="A281" s="1">
        <v>279</v>
      </c>
      <c r="B281" s="1">
        <v>8.3313789196707844E-2</v>
      </c>
      <c r="C281" s="1">
        <f t="shared" si="12"/>
        <v>0</v>
      </c>
      <c r="D281" s="1">
        <f t="shared" si="13"/>
        <v>2</v>
      </c>
      <c r="E281" s="1">
        <f t="shared" si="14"/>
        <v>0</v>
      </c>
    </row>
    <row r="282" spans="1:5" x14ac:dyDescent="0.25">
      <c r="A282" s="1">
        <v>280</v>
      </c>
      <c r="B282" s="1">
        <v>0.42515487905630434</v>
      </c>
      <c r="C282" s="1">
        <f t="shared" si="12"/>
        <v>1</v>
      </c>
      <c r="D282" s="1">
        <f t="shared" si="13"/>
        <v>2</v>
      </c>
      <c r="E282" s="1">
        <f t="shared" si="14"/>
        <v>0</v>
      </c>
    </row>
    <row r="283" spans="1:5" x14ac:dyDescent="0.25">
      <c r="A283" s="1">
        <v>281</v>
      </c>
      <c r="B283" s="1">
        <v>0.97515928443772404</v>
      </c>
      <c r="C283" s="1">
        <f t="shared" si="12"/>
        <v>3</v>
      </c>
      <c r="D283" s="1">
        <f t="shared" si="13"/>
        <v>4</v>
      </c>
      <c r="E283" s="1">
        <f t="shared" si="14"/>
        <v>0</v>
      </c>
    </row>
    <row r="284" spans="1:5" x14ac:dyDescent="0.25">
      <c r="A284" s="1">
        <v>282</v>
      </c>
      <c r="B284" s="1">
        <v>0.79360999701225576</v>
      </c>
      <c r="C284" s="1">
        <f t="shared" si="12"/>
        <v>3</v>
      </c>
      <c r="D284" s="1">
        <f t="shared" si="13"/>
        <v>4</v>
      </c>
      <c r="E284" s="1">
        <f t="shared" si="14"/>
        <v>2</v>
      </c>
    </row>
    <row r="285" spans="1:5" x14ac:dyDescent="0.25">
      <c r="A285" s="1">
        <v>283</v>
      </c>
      <c r="B285" s="1">
        <v>1.1654936250488412E-2</v>
      </c>
      <c r="C285" s="1">
        <f t="shared" si="12"/>
        <v>0</v>
      </c>
      <c r="D285" s="1">
        <f t="shared" si="13"/>
        <v>3</v>
      </c>
      <c r="E285" s="1">
        <f t="shared" si="14"/>
        <v>0</v>
      </c>
    </row>
    <row r="286" spans="1:5" x14ac:dyDescent="0.25">
      <c r="A286" s="1">
        <v>284</v>
      </c>
      <c r="B286" s="1">
        <v>0.2745569060522236</v>
      </c>
      <c r="C286" s="1">
        <f t="shared" si="12"/>
        <v>1</v>
      </c>
      <c r="D286" s="1">
        <f t="shared" si="13"/>
        <v>3</v>
      </c>
      <c r="E286" s="1">
        <f t="shared" si="14"/>
        <v>0</v>
      </c>
    </row>
    <row r="287" spans="1:5" x14ac:dyDescent="0.25">
      <c r="A287" s="1">
        <v>285</v>
      </c>
      <c r="B287" s="1">
        <v>0.65706529751456677</v>
      </c>
      <c r="C287" s="1">
        <f t="shared" si="12"/>
        <v>2</v>
      </c>
      <c r="D287" s="1">
        <f t="shared" si="13"/>
        <v>4</v>
      </c>
      <c r="E287" s="1">
        <f t="shared" si="14"/>
        <v>0</v>
      </c>
    </row>
    <row r="288" spans="1:5" x14ac:dyDescent="0.25">
      <c r="A288" s="1">
        <v>286</v>
      </c>
      <c r="B288" s="1">
        <v>0.81786412250227614</v>
      </c>
      <c r="C288" s="1">
        <f t="shared" si="12"/>
        <v>3</v>
      </c>
      <c r="D288" s="1">
        <f t="shared" si="13"/>
        <v>4</v>
      </c>
      <c r="E288" s="1">
        <f t="shared" si="14"/>
        <v>2</v>
      </c>
    </row>
    <row r="289" spans="1:5" x14ac:dyDescent="0.25">
      <c r="A289" s="1">
        <v>287</v>
      </c>
      <c r="B289" s="1">
        <v>0.25186704740199817</v>
      </c>
      <c r="C289" s="1">
        <f t="shared" si="12"/>
        <v>1</v>
      </c>
      <c r="D289" s="1">
        <f t="shared" si="13"/>
        <v>4</v>
      </c>
      <c r="E289" s="1">
        <f t="shared" si="14"/>
        <v>0</v>
      </c>
    </row>
    <row r="290" spans="1:5" x14ac:dyDescent="0.25">
      <c r="A290" s="1">
        <v>288</v>
      </c>
      <c r="B290" s="1">
        <v>0.29747523495601103</v>
      </c>
      <c r="C290" s="1">
        <f t="shared" si="12"/>
        <v>1</v>
      </c>
      <c r="D290" s="1">
        <f t="shared" si="13"/>
        <v>4</v>
      </c>
      <c r="E290" s="1">
        <f t="shared" si="14"/>
        <v>0</v>
      </c>
    </row>
    <row r="291" spans="1:5" x14ac:dyDescent="0.25">
      <c r="A291" s="1">
        <v>289</v>
      </c>
      <c r="B291" s="1">
        <v>0.28159695932396767</v>
      </c>
      <c r="C291" s="1">
        <f t="shared" si="12"/>
        <v>1</v>
      </c>
      <c r="D291" s="1">
        <f t="shared" si="13"/>
        <v>4</v>
      </c>
      <c r="E291" s="1">
        <f t="shared" si="14"/>
        <v>0</v>
      </c>
    </row>
    <row r="292" spans="1:5" x14ac:dyDescent="0.25">
      <c r="A292" s="1">
        <v>290</v>
      </c>
      <c r="B292" s="1">
        <v>0.5721848968057538</v>
      </c>
      <c r="C292" s="1">
        <f t="shared" si="12"/>
        <v>2</v>
      </c>
      <c r="D292" s="1">
        <f t="shared" si="13"/>
        <v>4</v>
      </c>
      <c r="E292" s="1">
        <f t="shared" si="14"/>
        <v>1</v>
      </c>
    </row>
    <row r="293" spans="1:5" x14ac:dyDescent="0.25">
      <c r="A293" s="1">
        <v>291</v>
      </c>
      <c r="B293" s="1">
        <v>0.5909216254953843</v>
      </c>
      <c r="C293" s="1">
        <f t="shared" si="12"/>
        <v>2</v>
      </c>
      <c r="D293" s="1">
        <f t="shared" si="13"/>
        <v>4</v>
      </c>
      <c r="E293" s="1">
        <f t="shared" si="14"/>
        <v>1</v>
      </c>
    </row>
    <row r="294" spans="1:5" x14ac:dyDescent="0.25">
      <c r="A294" s="1">
        <v>292</v>
      </c>
      <c r="B294" s="1">
        <v>0.93176893446051468</v>
      </c>
      <c r="C294" s="1">
        <f t="shared" si="12"/>
        <v>3</v>
      </c>
      <c r="D294" s="1">
        <f t="shared" si="13"/>
        <v>4</v>
      </c>
      <c r="E294" s="1">
        <f t="shared" si="14"/>
        <v>2</v>
      </c>
    </row>
    <row r="295" spans="1:5" x14ac:dyDescent="0.25">
      <c r="A295" s="1">
        <v>293</v>
      </c>
      <c r="B295" s="1">
        <v>0.44356084250304073</v>
      </c>
      <c r="C295" s="1">
        <f t="shared" si="12"/>
        <v>1</v>
      </c>
      <c r="D295" s="1">
        <f t="shared" si="13"/>
        <v>4</v>
      </c>
      <c r="E295" s="1">
        <f t="shared" si="14"/>
        <v>0</v>
      </c>
    </row>
    <row r="296" spans="1:5" x14ac:dyDescent="0.25">
      <c r="A296" s="1">
        <v>294</v>
      </c>
      <c r="B296" s="1">
        <v>0.73042033399145179</v>
      </c>
      <c r="C296" s="1">
        <f t="shared" si="12"/>
        <v>2</v>
      </c>
      <c r="D296" s="1">
        <f t="shared" si="13"/>
        <v>4</v>
      </c>
      <c r="E296" s="1">
        <f t="shared" si="14"/>
        <v>1</v>
      </c>
    </row>
    <row r="297" spans="1:5" x14ac:dyDescent="0.25">
      <c r="A297" s="1">
        <v>295</v>
      </c>
      <c r="B297" s="1">
        <v>0.20320588065217648</v>
      </c>
      <c r="C297" s="1">
        <f t="shared" si="12"/>
        <v>0</v>
      </c>
      <c r="D297" s="1">
        <f t="shared" si="13"/>
        <v>3</v>
      </c>
      <c r="E297" s="1">
        <f t="shared" si="14"/>
        <v>0</v>
      </c>
    </row>
    <row r="298" spans="1:5" x14ac:dyDescent="0.25">
      <c r="A298" s="1">
        <v>296</v>
      </c>
      <c r="B298" s="1">
        <v>0.24328931043990731</v>
      </c>
      <c r="C298" s="1">
        <f t="shared" si="12"/>
        <v>0</v>
      </c>
      <c r="D298" s="1">
        <f t="shared" si="13"/>
        <v>2</v>
      </c>
      <c r="E298" s="1">
        <f t="shared" si="14"/>
        <v>0</v>
      </c>
    </row>
    <row r="299" spans="1:5" x14ac:dyDescent="0.25">
      <c r="A299" s="1">
        <v>297</v>
      </c>
      <c r="B299" s="1">
        <v>0.37827938562382779</v>
      </c>
      <c r="C299" s="1">
        <f t="shared" si="12"/>
        <v>1</v>
      </c>
      <c r="D299" s="1">
        <f t="shared" si="13"/>
        <v>2</v>
      </c>
      <c r="E299" s="1">
        <f t="shared" si="14"/>
        <v>0</v>
      </c>
    </row>
    <row r="300" spans="1:5" x14ac:dyDescent="0.25">
      <c r="A300" s="1">
        <v>298</v>
      </c>
      <c r="B300" s="1">
        <v>0.31880953600477346</v>
      </c>
      <c r="C300" s="1">
        <f t="shared" si="12"/>
        <v>1</v>
      </c>
      <c r="D300" s="1">
        <f t="shared" si="13"/>
        <v>2</v>
      </c>
      <c r="E300" s="1">
        <f t="shared" si="14"/>
        <v>0</v>
      </c>
    </row>
    <row r="301" spans="1:5" x14ac:dyDescent="0.25">
      <c r="A301" s="1">
        <v>299</v>
      </c>
      <c r="B301" s="1">
        <v>3.3570951660877313E-4</v>
      </c>
      <c r="C301" s="1">
        <f t="shared" si="12"/>
        <v>0</v>
      </c>
      <c r="D301" s="1">
        <f t="shared" si="13"/>
        <v>1</v>
      </c>
      <c r="E301" s="1">
        <f t="shared" si="14"/>
        <v>0</v>
      </c>
    </row>
    <row r="302" spans="1:5" x14ac:dyDescent="0.25">
      <c r="A302" s="1">
        <v>300</v>
      </c>
      <c r="B302" s="1">
        <v>0.25350713372339106</v>
      </c>
      <c r="C302" s="1">
        <f t="shared" si="12"/>
        <v>1</v>
      </c>
      <c r="D302" s="1">
        <f t="shared" si="13"/>
        <v>1</v>
      </c>
      <c r="E302" s="1">
        <f t="shared" si="14"/>
        <v>0</v>
      </c>
    </row>
    <row r="303" spans="1:5" x14ac:dyDescent="0.25">
      <c r="A303" s="1">
        <v>301</v>
      </c>
      <c r="B303" s="1">
        <v>0.83844956231146395</v>
      </c>
      <c r="C303" s="1">
        <f t="shared" si="12"/>
        <v>3</v>
      </c>
      <c r="D303" s="1">
        <f t="shared" si="13"/>
        <v>3</v>
      </c>
      <c r="E303" s="1">
        <f t="shared" si="14"/>
        <v>0</v>
      </c>
    </row>
    <row r="304" spans="1:5" x14ac:dyDescent="0.25">
      <c r="A304" s="1">
        <v>302</v>
      </c>
      <c r="B304" s="1">
        <v>0.4008794161389041</v>
      </c>
      <c r="C304" s="1">
        <f t="shared" si="12"/>
        <v>1</v>
      </c>
      <c r="D304" s="1">
        <f t="shared" si="13"/>
        <v>3</v>
      </c>
      <c r="E304" s="1">
        <f t="shared" si="14"/>
        <v>0</v>
      </c>
    </row>
    <row r="305" spans="1:5" x14ac:dyDescent="0.25">
      <c r="A305" s="1">
        <v>303</v>
      </c>
      <c r="B305" s="1">
        <v>0.7149212791022358</v>
      </c>
      <c r="C305" s="1">
        <f t="shared" si="12"/>
        <v>2</v>
      </c>
      <c r="D305" s="1">
        <f t="shared" si="13"/>
        <v>4</v>
      </c>
      <c r="E305" s="1">
        <f t="shared" si="14"/>
        <v>0</v>
      </c>
    </row>
    <row r="306" spans="1:5" x14ac:dyDescent="0.25">
      <c r="A306" s="1">
        <v>304</v>
      </c>
      <c r="B306" s="1">
        <v>0.14136855488421574</v>
      </c>
      <c r="C306" s="1">
        <f t="shared" si="12"/>
        <v>0</v>
      </c>
      <c r="D306" s="1">
        <f t="shared" si="13"/>
        <v>3</v>
      </c>
      <c r="E306" s="1">
        <f t="shared" si="14"/>
        <v>0</v>
      </c>
    </row>
    <row r="307" spans="1:5" x14ac:dyDescent="0.25">
      <c r="A307" s="1">
        <v>305</v>
      </c>
      <c r="B307" s="1">
        <v>0.76255838273048759</v>
      </c>
      <c r="C307" s="1">
        <f t="shared" si="12"/>
        <v>3</v>
      </c>
      <c r="D307" s="1">
        <f t="shared" si="13"/>
        <v>4</v>
      </c>
      <c r="E307" s="1">
        <f t="shared" si="14"/>
        <v>1</v>
      </c>
    </row>
    <row r="308" spans="1:5" x14ac:dyDescent="0.25">
      <c r="A308" s="1">
        <v>306</v>
      </c>
      <c r="B308" s="1">
        <v>0.63031883526054755</v>
      </c>
      <c r="C308" s="1">
        <f t="shared" si="12"/>
        <v>2</v>
      </c>
      <c r="D308" s="1">
        <f t="shared" si="13"/>
        <v>4</v>
      </c>
      <c r="E308" s="1">
        <f t="shared" si="14"/>
        <v>1</v>
      </c>
    </row>
    <row r="309" spans="1:5" x14ac:dyDescent="0.25">
      <c r="A309" s="1">
        <v>307</v>
      </c>
      <c r="B309" s="1">
        <v>2.9390103895243769E-3</v>
      </c>
      <c r="C309" s="1">
        <f t="shared" si="12"/>
        <v>0</v>
      </c>
      <c r="D309" s="1">
        <f t="shared" si="13"/>
        <v>3</v>
      </c>
      <c r="E309" s="1">
        <f t="shared" si="14"/>
        <v>0</v>
      </c>
    </row>
    <row r="310" spans="1:5" x14ac:dyDescent="0.25">
      <c r="A310" s="1">
        <v>308</v>
      </c>
      <c r="B310" s="1">
        <v>0.80139651566739079</v>
      </c>
      <c r="C310" s="1">
        <f t="shared" si="12"/>
        <v>3</v>
      </c>
      <c r="D310" s="1">
        <f t="shared" si="13"/>
        <v>4</v>
      </c>
      <c r="E310" s="1">
        <f t="shared" si="14"/>
        <v>1</v>
      </c>
    </row>
    <row r="311" spans="1:5" x14ac:dyDescent="0.25">
      <c r="A311" s="1">
        <v>309</v>
      </c>
      <c r="B311" s="1">
        <v>0.97816336285473893</v>
      </c>
      <c r="C311" s="1">
        <f t="shared" si="12"/>
        <v>3</v>
      </c>
      <c r="D311" s="1">
        <f t="shared" si="13"/>
        <v>4</v>
      </c>
      <c r="E311" s="1">
        <f t="shared" si="14"/>
        <v>2</v>
      </c>
    </row>
    <row r="312" spans="1:5" x14ac:dyDescent="0.25">
      <c r="A312" s="1">
        <v>310</v>
      </c>
      <c r="B312" s="1">
        <v>0.4194513994624971</v>
      </c>
      <c r="C312" s="1">
        <f t="shared" si="12"/>
        <v>1</v>
      </c>
      <c r="D312" s="1">
        <f t="shared" si="13"/>
        <v>4</v>
      </c>
      <c r="E312" s="1">
        <f t="shared" si="14"/>
        <v>0</v>
      </c>
    </row>
    <row r="313" spans="1:5" x14ac:dyDescent="0.25">
      <c r="A313" s="1">
        <v>311</v>
      </c>
      <c r="B313" s="1">
        <v>0.27341428879372354</v>
      </c>
      <c r="C313" s="1">
        <f t="shared" si="12"/>
        <v>1</v>
      </c>
      <c r="D313" s="1">
        <f t="shared" si="13"/>
        <v>4</v>
      </c>
      <c r="E313" s="1">
        <f t="shared" si="14"/>
        <v>0</v>
      </c>
    </row>
    <row r="314" spans="1:5" x14ac:dyDescent="0.25">
      <c r="A314" s="1">
        <v>312</v>
      </c>
      <c r="B314" s="1">
        <v>0.62474616200125221</v>
      </c>
      <c r="C314" s="1">
        <f t="shared" si="12"/>
        <v>2</v>
      </c>
      <c r="D314" s="1">
        <f t="shared" si="13"/>
        <v>4</v>
      </c>
      <c r="E314" s="1">
        <f t="shared" si="14"/>
        <v>1</v>
      </c>
    </row>
    <row r="315" spans="1:5" x14ac:dyDescent="0.25">
      <c r="A315" s="1">
        <v>313</v>
      </c>
      <c r="B315" s="1">
        <v>0.34536181345632511</v>
      </c>
      <c r="C315" s="1">
        <f t="shared" si="12"/>
        <v>1</v>
      </c>
      <c r="D315" s="1">
        <f t="shared" si="13"/>
        <v>4</v>
      </c>
      <c r="E315" s="1">
        <f t="shared" si="14"/>
        <v>0</v>
      </c>
    </row>
    <row r="316" spans="1:5" x14ac:dyDescent="0.25">
      <c r="A316" s="1">
        <v>314</v>
      </c>
      <c r="B316" s="1">
        <v>0.56710550665621895</v>
      </c>
      <c r="C316" s="1">
        <f t="shared" si="12"/>
        <v>2</v>
      </c>
      <c r="D316" s="1">
        <f t="shared" si="13"/>
        <v>4</v>
      </c>
      <c r="E316" s="1">
        <f t="shared" si="14"/>
        <v>1</v>
      </c>
    </row>
    <row r="317" spans="1:5" x14ac:dyDescent="0.25">
      <c r="A317" s="1">
        <v>315</v>
      </c>
      <c r="B317" s="1">
        <v>0.34654301966011514</v>
      </c>
      <c r="C317" s="1">
        <f t="shared" si="12"/>
        <v>1</v>
      </c>
      <c r="D317" s="1">
        <f t="shared" si="13"/>
        <v>4</v>
      </c>
      <c r="E317" s="1">
        <f t="shared" si="14"/>
        <v>0</v>
      </c>
    </row>
    <row r="318" spans="1:5" x14ac:dyDescent="0.25">
      <c r="A318" s="1">
        <v>316</v>
      </c>
      <c r="B318" s="1">
        <v>0.48567935743396784</v>
      </c>
      <c r="C318" s="1">
        <f t="shared" si="12"/>
        <v>1</v>
      </c>
      <c r="D318" s="1">
        <f t="shared" si="13"/>
        <v>4</v>
      </c>
      <c r="E318" s="1">
        <f t="shared" si="14"/>
        <v>0</v>
      </c>
    </row>
    <row r="319" spans="1:5" x14ac:dyDescent="0.25">
      <c r="A319" s="1">
        <v>317</v>
      </c>
      <c r="B319" s="1">
        <v>0.31410079890116194</v>
      </c>
      <c r="C319" s="1">
        <f t="shared" si="12"/>
        <v>1</v>
      </c>
      <c r="D319" s="1">
        <f t="shared" si="13"/>
        <v>4</v>
      </c>
      <c r="E319" s="1">
        <f t="shared" si="14"/>
        <v>0</v>
      </c>
    </row>
    <row r="320" spans="1:5" x14ac:dyDescent="0.25">
      <c r="A320" s="1">
        <v>318</v>
      </c>
      <c r="B320" s="1">
        <v>0.24480853306840467</v>
      </c>
      <c r="C320" s="1">
        <f t="shared" si="12"/>
        <v>0</v>
      </c>
      <c r="D320" s="1">
        <f t="shared" si="13"/>
        <v>3</v>
      </c>
      <c r="E320" s="1">
        <f t="shared" si="14"/>
        <v>0</v>
      </c>
    </row>
    <row r="321" spans="1:5" x14ac:dyDescent="0.25">
      <c r="A321" s="1">
        <v>319</v>
      </c>
      <c r="B321" s="1">
        <v>0.34475690638241485</v>
      </c>
      <c r="C321" s="1">
        <f t="shared" si="12"/>
        <v>1</v>
      </c>
      <c r="D321" s="1">
        <f t="shared" si="13"/>
        <v>3</v>
      </c>
      <c r="E321" s="1">
        <f t="shared" si="14"/>
        <v>0</v>
      </c>
    </row>
    <row r="322" spans="1:5" x14ac:dyDescent="0.25">
      <c r="A322" s="1">
        <v>320</v>
      </c>
      <c r="B322" s="1">
        <v>0.51857572865574708</v>
      </c>
      <c r="C322" s="1">
        <f t="shared" si="12"/>
        <v>2</v>
      </c>
      <c r="D322" s="1">
        <f t="shared" si="13"/>
        <v>4</v>
      </c>
      <c r="E322" s="1">
        <f t="shared" si="14"/>
        <v>0</v>
      </c>
    </row>
    <row r="323" spans="1:5" x14ac:dyDescent="0.25">
      <c r="A323" s="1">
        <v>321</v>
      </c>
      <c r="B323" s="1">
        <v>0.14163145987425529</v>
      </c>
      <c r="C323" s="1">
        <f t="shared" si="12"/>
        <v>0</v>
      </c>
      <c r="D323" s="1">
        <f t="shared" si="13"/>
        <v>3</v>
      </c>
      <c r="E323" s="1">
        <f t="shared" si="14"/>
        <v>0</v>
      </c>
    </row>
    <row r="324" spans="1:5" x14ac:dyDescent="0.25">
      <c r="A324" s="1">
        <v>322</v>
      </c>
      <c r="B324" s="1">
        <v>0.51832613896068314</v>
      </c>
      <c r="C324" s="1">
        <f t="shared" ref="C324:C387" si="15">IF(B324&lt;$L$7,$L$5,IF(B324&lt;$M$7,$M$5,IF(B324&lt;$N$7,$N$5,$O$5)))</f>
        <v>2</v>
      </c>
      <c r="D324" s="1">
        <f t="shared" ref="D324:D387" si="16">MAX(0,MIN(D323+C324-$L$10,$L$9))</f>
        <v>4</v>
      </c>
      <c r="E324" s="1">
        <f t="shared" ref="E324:E387" si="17">MAX(D323+C324-$L$10-$L$9,0)</f>
        <v>0</v>
      </c>
    </row>
    <row r="325" spans="1:5" x14ac:dyDescent="0.25">
      <c r="A325" s="1">
        <v>323</v>
      </c>
      <c r="B325" s="1">
        <v>0.98426134240312058</v>
      </c>
      <c r="C325" s="1">
        <f t="shared" si="15"/>
        <v>3</v>
      </c>
      <c r="D325" s="1">
        <f t="shared" si="16"/>
        <v>4</v>
      </c>
      <c r="E325" s="1">
        <f t="shared" si="17"/>
        <v>2</v>
      </c>
    </row>
    <row r="326" spans="1:5" x14ac:dyDescent="0.25">
      <c r="A326" s="1">
        <v>324</v>
      </c>
      <c r="B326" s="1">
        <v>0.7436958285203753</v>
      </c>
      <c r="C326" s="1">
        <f t="shared" si="15"/>
        <v>2</v>
      </c>
      <c r="D326" s="1">
        <f t="shared" si="16"/>
        <v>4</v>
      </c>
      <c r="E326" s="1">
        <f t="shared" si="17"/>
        <v>1</v>
      </c>
    </row>
    <row r="327" spans="1:5" x14ac:dyDescent="0.25">
      <c r="A327" s="1">
        <v>325</v>
      </c>
      <c r="B327" s="1">
        <v>0.93167114246188631</v>
      </c>
      <c r="C327" s="1">
        <f t="shared" si="15"/>
        <v>3</v>
      </c>
      <c r="D327" s="1">
        <f t="shared" si="16"/>
        <v>4</v>
      </c>
      <c r="E327" s="1">
        <f t="shared" si="17"/>
        <v>2</v>
      </c>
    </row>
    <row r="328" spans="1:5" x14ac:dyDescent="0.25">
      <c r="A328" s="1">
        <v>326</v>
      </c>
      <c r="B328" s="1">
        <v>0.76177368162528414</v>
      </c>
      <c r="C328" s="1">
        <f t="shared" si="15"/>
        <v>3</v>
      </c>
      <c r="D328" s="1">
        <f t="shared" si="16"/>
        <v>4</v>
      </c>
      <c r="E328" s="1">
        <f t="shared" si="17"/>
        <v>2</v>
      </c>
    </row>
    <row r="329" spans="1:5" x14ac:dyDescent="0.25">
      <c r="A329" s="1">
        <v>327</v>
      </c>
      <c r="B329" s="1">
        <v>0.58808244171951674</v>
      </c>
      <c r="C329" s="1">
        <f t="shared" si="15"/>
        <v>2</v>
      </c>
      <c r="D329" s="1">
        <f t="shared" si="16"/>
        <v>4</v>
      </c>
      <c r="E329" s="1">
        <f t="shared" si="17"/>
        <v>1</v>
      </c>
    </row>
    <row r="330" spans="1:5" x14ac:dyDescent="0.25">
      <c r="A330" s="1">
        <v>328</v>
      </c>
      <c r="B330" s="1">
        <v>0.77797157230433767</v>
      </c>
      <c r="C330" s="1">
        <f t="shared" si="15"/>
        <v>3</v>
      </c>
      <c r="D330" s="1">
        <f t="shared" si="16"/>
        <v>4</v>
      </c>
      <c r="E330" s="1">
        <f t="shared" si="17"/>
        <v>2</v>
      </c>
    </row>
    <row r="331" spans="1:5" x14ac:dyDescent="0.25">
      <c r="A331" s="1">
        <v>329</v>
      </c>
      <c r="B331" s="1">
        <v>0.10914716997975904</v>
      </c>
      <c r="C331" s="1">
        <f t="shared" si="15"/>
        <v>0</v>
      </c>
      <c r="D331" s="1">
        <f t="shared" si="16"/>
        <v>3</v>
      </c>
      <c r="E331" s="1">
        <f t="shared" si="17"/>
        <v>0</v>
      </c>
    </row>
    <row r="332" spans="1:5" x14ac:dyDescent="0.25">
      <c r="A332" s="1">
        <v>330</v>
      </c>
      <c r="B332" s="1">
        <v>0.83199494783381178</v>
      </c>
      <c r="C332" s="1">
        <f t="shared" si="15"/>
        <v>3</v>
      </c>
      <c r="D332" s="1">
        <f t="shared" si="16"/>
        <v>4</v>
      </c>
      <c r="E332" s="1">
        <f t="shared" si="17"/>
        <v>1</v>
      </c>
    </row>
    <row r="333" spans="1:5" x14ac:dyDescent="0.25">
      <c r="A333" s="1">
        <v>331</v>
      </c>
      <c r="B333" s="1">
        <v>4.8427867663166757E-2</v>
      </c>
      <c r="C333" s="1">
        <f t="shared" si="15"/>
        <v>0</v>
      </c>
      <c r="D333" s="1">
        <f t="shared" si="16"/>
        <v>3</v>
      </c>
      <c r="E333" s="1">
        <f t="shared" si="17"/>
        <v>0</v>
      </c>
    </row>
    <row r="334" spans="1:5" x14ac:dyDescent="0.25">
      <c r="A334" s="1">
        <v>332</v>
      </c>
      <c r="B334" s="1">
        <v>0.28530643176929227</v>
      </c>
      <c r="C334" s="1">
        <f t="shared" si="15"/>
        <v>1</v>
      </c>
      <c r="D334" s="1">
        <f t="shared" si="16"/>
        <v>3</v>
      </c>
      <c r="E334" s="1">
        <f t="shared" si="17"/>
        <v>0</v>
      </c>
    </row>
    <row r="335" spans="1:5" x14ac:dyDescent="0.25">
      <c r="A335" s="1">
        <v>333</v>
      </c>
      <c r="B335" s="1">
        <v>0.25596079663644788</v>
      </c>
      <c r="C335" s="1">
        <f t="shared" si="15"/>
        <v>1</v>
      </c>
      <c r="D335" s="1">
        <f t="shared" si="16"/>
        <v>3</v>
      </c>
      <c r="E335" s="1">
        <f t="shared" si="17"/>
        <v>0</v>
      </c>
    </row>
    <row r="336" spans="1:5" x14ac:dyDescent="0.25">
      <c r="A336" s="1">
        <v>334</v>
      </c>
      <c r="B336" s="1">
        <v>0.57397125346744082</v>
      </c>
      <c r="C336" s="1">
        <f t="shared" si="15"/>
        <v>2</v>
      </c>
      <c r="D336" s="1">
        <f t="shared" si="16"/>
        <v>4</v>
      </c>
      <c r="E336" s="1">
        <f t="shared" si="17"/>
        <v>0</v>
      </c>
    </row>
    <row r="337" spans="1:5" x14ac:dyDescent="0.25">
      <c r="A337" s="1">
        <v>335</v>
      </c>
      <c r="B337" s="1">
        <v>0.22365538454679457</v>
      </c>
      <c r="C337" s="1">
        <f t="shared" si="15"/>
        <v>0</v>
      </c>
      <c r="D337" s="1">
        <f t="shared" si="16"/>
        <v>3</v>
      </c>
      <c r="E337" s="1">
        <f t="shared" si="17"/>
        <v>0</v>
      </c>
    </row>
    <row r="338" spans="1:5" x14ac:dyDescent="0.25">
      <c r="A338" s="1">
        <v>336</v>
      </c>
      <c r="B338" s="1">
        <v>0.6726369835319701</v>
      </c>
      <c r="C338" s="1">
        <f t="shared" si="15"/>
        <v>2</v>
      </c>
      <c r="D338" s="1">
        <f t="shared" si="16"/>
        <v>4</v>
      </c>
      <c r="E338" s="1">
        <f t="shared" si="17"/>
        <v>0</v>
      </c>
    </row>
    <row r="339" spans="1:5" x14ac:dyDescent="0.25">
      <c r="A339" s="1">
        <v>337</v>
      </c>
      <c r="B339" s="1">
        <v>0.41486796264960502</v>
      </c>
      <c r="C339" s="1">
        <f t="shared" si="15"/>
        <v>1</v>
      </c>
      <c r="D339" s="1">
        <f t="shared" si="16"/>
        <v>4</v>
      </c>
      <c r="E339" s="1">
        <f t="shared" si="17"/>
        <v>0</v>
      </c>
    </row>
    <row r="340" spans="1:5" x14ac:dyDescent="0.25">
      <c r="A340" s="1">
        <v>338</v>
      </c>
      <c r="B340" s="1">
        <v>0.14994306201211949</v>
      </c>
      <c r="C340" s="1">
        <f t="shared" si="15"/>
        <v>0</v>
      </c>
      <c r="D340" s="1">
        <f t="shared" si="16"/>
        <v>3</v>
      </c>
      <c r="E340" s="1">
        <f t="shared" si="17"/>
        <v>0</v>
      </c>
    </row>
    <row r="341" spans="1:5" x14ac:dyDescent="0.25">
      <c r="A341" s="1">
        <v>339</v>
      </c>
      <c r="B341" s="1">
        <v>7.3050659046240973E-3</v>
      </c>
      <c r="C341" s="1">
        <f t="shared" si="15"/>
        <v>0</v>
      </c>
      <c r="D341" s="1">
        <f t="shared" si="16"/>
        <v>2</v>
      </c>
      <c r="E341" s="1">
        <f t="shared" si="17"/>
        <v>0</v>
      </c>
    </row>
    <row r="342" spans="1:5" x14ac:dyDescent="0.25">
      <c r="A342" s="1">
        <v>340</v>
      </c>
      <c r="B342" s="1">
        <v>0.52662929002983738</v>
      </c>
      <c r="C342" s="1">
        <f t="shared" si="15"/>
        <v>2</v>
      </c>
      <c r="D342" s="1">
        <f t="shared" si="16"/>
        <v>3</v>
      </c>
      <c r="E342" s="1">
        <f t="shared" si="17"/>
        <v>0</v>
      </c>
    </row>
    <row r="343" spans="1:5" x14ac:dyDescent="0.25">
      <c r="A343" s="1">
        <v>341</v>
      </c>
      <c r="B343" s="1">
        <v>0.82281021014660438</v>
      </c>
      <c r="C343" s="1">
        <f t="shared" si="15"/>
        <v>3</v>
      </c>
      <c r="D343" s="1">
        <f t="shared" si="16"/>
        <v>4</v>
      </c>
      <c r="E343" s="1">
        <f t="shared" si="17"/>
        <v>1</v>
      </c>
    </row>
    <row r="344" spans="1:5" x14ac:dyDescent="0.25">
      <c r="A344" s="1">
        <v>342</v>
      </c>
      <c r="B344" s="1">
        <v>0.15764822062374495</v>
      </c>
      <c r="C344" s="1">
        <f t="shared" si="15"/>
        <v>0</v>
      </c>
      <c r="D344" s="1">
        <f t="shared" si="16"/>
        <v>3</v>
      </c>
      <c r="E344" s="1">
        <f t="shared" si="17"/>
        <v>0</v>
      </c>
    </row>
    <row r="345" spans="1:5" x14ac:dyDescent="0.25">
      <c r="A345" s="1">
        <v>343</v>
      </c>
      <c r="B345" s="1">
        <v>0.65208592638578489</v>
      </c>
      <c r="C345" s="1">
        <f t="shared" si="15"/>
        <v>2</v>
      </c>
      <c r="D345" s="1">
        <f t="shared" si="16"/>
        <v>4</v>
      </c>
      <c r="E345" s="1">
        <f t="shared" si="17"/>
        <v>0</v>
      </c>
    </row>
    <row r="346" spans="1:5" x14ac:dyDescent="0.25">
      <c r="A346" s="1">
        <v>344</v>
      </c>
      <c r="B346" s="1">
        <v>0.49714744187387827</v>
      </c>
      <c r="C346" s="1">
        <f t="shared" si="15"/>
        <v>1</v>
      </c>
      <c r="D346" s="1">
        <f t="shared" si="16"/>
        <v>4</v>
      </c>
      <c r="E346" s="1">
        <f t="shared" si="17"/>
        <v>0</v>
      </c>
    </row>
    <row r="347" spans="1:5" x14ac:dyDescent="0.25">
      <c r="A347" s="1">
        <v>345</v>
      </c>
      <c r="B347" s="1">
        <v>0.84385213895615074</v>
      </c>
      <c r="C347" s="1">
        <f t="shared" si="15"/>
        <v>3</v>
      </c>
      <c r="D347" s="1">
        <f t="shared" si="16"/>
        <v>4</v>
      </c>
      <c r="E347" s="1">
        <f t="shared" si="17"/>
        <v>2</v>
      </c>
    </row>
    <row r="348" spans="1:5" x14ac:dyDescent="0.25">
      <c r="A348" s="1">
        <v>346</v>
      </c>
      <c r="B348" s="1">
        <v>0.80375864380202</v>
      </c>
      <c r="C348" s="1">
        <f t="shared" si="15"/>
        <v>3</v>
      </c>
      <c r="D348" s="1">
        <f t="shared" si="16"/>
        <v>4</v>
      </c>
      <c r="E348" s="1">
        <f t="shared" si="17"/>
        <v>2</v>
      </c>
    </row>
    <row r="349" spans="1:5" x14ac:dyDescent="0.25">
      <c r="A349" s="1">
        <v>347</v>
      </c>
      <c r="B349" s="1">
        <v>0.61823257690580313</v>
      </c>
      <c r="C349" s="1">
        <f t="shared" si="15"/>
        <v>2</v>
      </c>
      <c r="D349" s="1">
        <f t="shared" si="16"/>
        <v>4</v>
      </c>
      <c r="E349" s="1">
        <f t="shared" si="17"/>
        <v>1</v>
      </c>
    </row>
    <row r="350" spans="1:5" x14ac:dyDescent="0.25">
      <c r="A350" s="1">
        <v>348</v>
      </c>
      <c r="B350" s="1">
        <v>0.72370943348948835</v>
      </c>
      <c r="C350" s="1">
        <f t="shared" si="15"/>
        <v>2</v>
      </c>
      <c r="D350" s="1">
        <f t="shared" si="16"/>
        <v>4</v>
      </c>
      <c r="E350" s="1">
        <f t="shared" si="17"/>
        <v>1</v>
      </c>
    </row>
    <row r="351" spans="1:5" x14ac:dyDescent="0.25">
      <c r="A351" s="1">
        <v>349</v>
      </c>
      <c r="B351" s="1">
        <v>0.28060162460449878</v>
      </c>
      <c r="C351" s="1">
        <f t="shared" si="15"/>
        <v>1</v>
      </c>
      <c r="D351" s="1">
        <f t="shared" si="16"/>
        <v>4</v>
      </c>
      <c r="E351" s="1">
        <f t="shared" si="17"/>
        <v>0</v>
      </c>
    </row>
    <row r="352" spans="1:5" x14ac:dyDescent="0.25">
      <c r="A352" s="1">
        <v>350</v>
      </c>
      <c r="B352" s="1">
        <v>6.1432648346238627E-2</v>
      </c>
      <c r="C352" s="1">
        <f t="shared" si="15"/>
        <v>0</v>
      </c>
      <c r="D352" s="1">
        <f t="shared" si="16"/>
        <v>3</v>
      </c>
      <c r="E352" s="1">
        <f t="shared" si="17"/>
        <v>0</v>
      </c>
    </row>
    <row r="353" spans="1:5" x14ac:dyDescent="0.25">
      <c r="A353" s="1">
        <v>351</v>
      </c>
      <c r="B353" s="1">
        <v>0.96330610785477411</v>
      </c>
      <c r="C353" s="1">
        <f t="shared" si="15"/>
        <v>3</v>
      </c>
      <c r="D353" s="1">
        <f t="shared" si="16"/>
        <v>4</v>
      </c>
      <c r="E353" s="1">
        <f t="shared" si="17"/>
        <v>1</v>
      </c>
    </row>
    <row r="354" spans="1:5" x14ac:dyDescent="0.25">
      <c r="A354" s="1">
        <v>352</v>
      </c>
      <c r="B354" s="1">
        <v>0.31074146271487613</v>
      </c>
      <c r="C354" s="1">
        <f t="shared" si="15"/>
        <v>1</v>
      </c>
      <c r="D354" s="1">
        <f t="shared" si="16"/>
        <v>4</v>
      </c>
      <c r="E354" s="1">
        <f t="shared" si="17"/>
        <v>0</v>
      </c>
    </row>
    <row r="355" spans="1:5" x14ac:dyDescent="0.25">
      <c r="A355" s="1">
        <v>353</v>
      </c>
      <c r="B355" s="1">
        <v>0.54635710716802777</v>
      </c>
      <c r="C355" s="1">
        <f t="shared" si="15"/>
        <v>2</v>
      </c>
      <c r="D355" s="1">
        <f t="shared" si="16"/>
        <v>4</v>
      </c>
      <c r="E355" s="1">
        <f t="shared" si="17"/>
        <v>1</v>
      </c>
    </row>
    <row r="356" spans="1:5" x14ac:dyDescent="0.25">
      <c r="A356" s="1">
        <v>354</v>
      </c>
      <c r="B356" s="1">
        <v>0.46345314627300593</v>
      </c>
      <c r="C356" s="1">
        <f t="shared" si="15"/>
        <v>1</v>
      </c>
      <c r="D356" s="1">
        <f t="shared" si="16"/>
        <v>4</v>
      </c>
      <c r="E356" s="1">
        <f t="shared" si="17"/>
        <v>0</v>
      </c>
    </row>
    <row r="357" spans="1:5" x14ac:dyDescent="0.25">
      <c r="A357" s="1">
        <v>355</v>
      </c>
      <c r="B357" s="1">
        <v>0.4078287205065958</v>
      </c>
      <c r="C357" s="1">
        <f t="shared" si="15"/>
        <v>1</v>
      </c>
      <c r="D357" s="1">
        <f t="shared" si="16"/>
        <v>4</v>
      </c>
      <c r="E357" s="1">
        <f t="shared" si="17"/>
        <v>0</v>
      </c>
    </row>
    <row r="358" spans="1:5" x14ac:dyDescent="0.25">
      <c r="A358" s="1">
        <v>356</v>
      </c>
      <c r="B358" s="1">
        <v>0.96461485033495942</v>
      </c>
      <c r="C358" s="1">
        <f t="shared" si="15"/>
        <v>3</v>
      </c>
      <c r="D358" s="1">
        <f t="shared" si="16"/>
        <v>4</v>
      </c>
      <c r="E358" s="1">
        <f t="shared" si="17"/>
        <v>2</v>
      </c>
    </row>
    <row r="359" spans="1:5" x14ac:dyDescent="0.25">
      <c r="A359" s="1">
        <v>357</v>
      </c>
      <c r="B359" s="1">
        <v>0.50609489474636704</v>
      </c>
      <c r="C359" s="1">
        <f t="shared" si="15"/>
        <v>2</v>
      </c>
      <c r="D359" s="1">
        <f t="shared" si="16"/>
        <v>4</v>
      </c>
      <c r="E359" s="1">
        <f t="shared" si="17"/>
        <v>1</v>
      </c>
    </row>
    <row r="360" spans="1:5" x14ac:dyDescent="0.25">
      <c r="A360" s="1">
        <v>358</v>
      </c>
      <c r="B360" s="1">
        <v>0.96543540854922694</v>
      </c>
      <c r="C360" s="1">
        <f t="shared" si="15"/>
        <v>3</v>
      </c>
      <c r="D360" s="1">
        <f t="shared" si="16"/>
        <v>4</v>
      </c>
      <c r="E360" s="1">
        <f t="shared" si="17"/>
        <v>2</v>
      </c>
    </row>
    <row r="361" spans="1:5" x14ac:dyDescent="0.25">
      <c r="A361" s="1">
        <v>359</v>
      </c>
      <c r="B361" s="1">
        <v>0.44459554387533706</v>
      </c>
      <c r="C361" s="1">
        <f t="shared" si="15"/>
        <v>1</v>
      </c>
      <c r="D361" s="1">
        <f t="shared" si="16"/>
        <v>4</v>
      </c>
      <c r="E361" s="1">
        <f t="shared" si="17"/>
        <v>0</v>
      </c>
    </row>
    <row r="362" spans="1:5" x14ac:dyDescent="0.25">
      <c r="A362" s="1">
        <v>360</v>
      </c>
      <c r="B362" s="1">
        <v>0.3119093496773957</v>
      </c>
      <c r="C362" s="1">
        <f t="shared" si="15"/>
        <v>1</v>
      </c>
      <c r="D362" s="1">
        <f t="shared" si="16"/>
        <v>4</v>
      </c>
      <c r="E362" s="1">
        <f t="shared" si="17"/>
        <v>0</v>
      </c>
    </row>
    <row r="363" spans="1:5" x14ac:dyDescent="0.25">
      <c r="A363" s="1">
        <v>361</v>
      </c>
      <c r="B363" s="1">
        <v>0.80212572535275173</v>
      </c>
      <c r="C363" s="1">
        <f t="shared" si="15"/>
        <v>3</v>
      </c>
      <c r="D363" s="1">
        <f t="shared" si="16"/>
        <v>4</v>
      </c>
      <c r="E363" s="1">
        <f t="shared" si="17"/>
        <v>2</v>
      </c>
    </row>
    <row r="364" spans="1:5" x14ac:dyDescent="0.25">
      <c r="A364" s="1">
        <v>362</v>
      </c>
      <c r="B364" s="1">
        <v>0.89326241036021781</v>
      </c>
      <c r="C364" s="1">
        <f t="shared" si="15"/>
        <v>3</v>
      </c>
      <c r="D364" s="1">
        <f t="shared" si="16"/>
        <v>4</v>
      </c>
      <c r="E364" s="1">
        <f t="shared" si="17"/>
        <v>2</v>
      </c>
    </row>
    <row r="365" spans="1:5" x14ac:dyDescent="0.25">
      <c r="A365" s="1">
        <v>363</v>
      </c>
      <c r="B365" s="1">
        <v>0.53800253861796232</v>
      </c>
      <c r="C365" s="1">
        <f t="shared" si="15"/>
        <v>2</v>
      </c>
      <c r="D365" s="1">
        <f t="shared" si="16"/>
        <v>4</v>
      </c>
      <c r="E365" s="1">
        <f t="shared" si="17"/>
        <v>1</v>
      </c>
    </row>
    <row r="366" spans="1:5" x14ac:dyDescent="0.25">
      <c r="A366" s="1">
        <v>364</v>
      </c>
      <c r="B366" s="1">
        <v>0.74285886255460243</v>
      </c>
      <c r="C366" s="1">
        <f t="shared" si="15"/>
        <v>2</v>
      </c>
      <c r="D366" s="1">
        <f t="shared" si="16"/>
        <v>4</v>
      </c>
      <c r="E366" s="1">
        <f t="shared" si="17"/>
        <v>1</v>
      </c>
    </row>
    <row r="367" spans="1:5" x14ac:dyDescent="0.25">
      <c r="A367" s="1">
        <v>365</v>
      </c>
      <c r="B367" s="1">
        <v>0.35367101047889604</v>
      </c>
      <c r="C367" s="1">
        <f t="shared" si="15"/>
        <v>1</v>
      </c>
      <c r="D367" s="1">
        <f t="shared" si="16"/>
        <v>4</v>
      </c>
      <c r="E367" s="1">
        <f t="shared" si="17"/>
        <v>0</v>
      </c>
    </row>
    <row r="368" spans="1:5" x14ac:dyDescent="0.25">
      <c r="A368" s="1">
        <v>366</v>
      </c>
      <c r="B368" s="1">
        <v>0.73996514318010276</v>
      </c>
      <c r="C368" s="1">
        <f t="shared" si="15"/>
        <v>2</v>
      </c>
      <c r="D368" s="1">
        <f t="shared" si="16"/>
        <v>4</v>
      </c>
      <c r="E368" s="1">
        <f t="shared" si="17"/>
        <v>1</v>
      </c>
    </row>
    <row r="369" spans="1:5" x14ac:dyDescent="0.25">
      <c r="A369" s="1">
        <v>367</v>
      </c>
      <c r="B369" s="1">
        <v>0.35705621754105654</v>
      </c>
      <c r="C369" s="1">
        <f t="shared" si="15"/>
        <v>1</v>
      </c>
      <c r="D369" s="1">
        <f t="shared" si="16"/>
        <v>4</v>
      </c>
      <c r="E369" s="1">
        <f t="shared" si="17"/>
        <v>0</v>
      </c>
    </row>
    <row r="370" spans="1:5" x14ac:dyDescent="0.25">
      <c r="A370" s="1">
        <v>368</v>
      </c>
      <c r="B370" s="1">
        <v>0.14529963750896502</v>
      </c>
      <c r="C370" s="1">
        <f t="shared" si="15"/>
        <v>0</v>
      </c>
      <c r="D370" s="1">
        <f t="shared" si="16"/>
        <v>3</v>
      </c>
      <c r="E370" s="1">
        <f t="shared" si="17"/>
        <v>0</v>
      </c>
    </row>
    <row r="371" spans="1:5" x14ac:dyDescent="0.25">
      <c r="A371" s="1">
        <v>369</v>
      </c>
      <c r="B371" s="1">
        <v>0.65322742598473515</v>
      </c>
      <c r="C371" s="1">
        <f t="shared" si="15"/>
        <v>2</v>
      </c>
      <c r="D371" s="1">
        <f t="shared" si="16"/>
        <v>4</v>
      </c>
      <c r="E371" s="1">
        <f t="shared" si="17"/>
        <v>0</v>
      </c>
    </row>
    <row r="372" spans="1:5" x14ac:dyDescent="0.25">
      <c r="A372" s="1">
        <v>370</v>
      </c>
      <c r="B372" s="1">
        <v>0.38283751106803265</v>
      </c>
      <c r="C372" s="1">
        <f t="shared" si="15"/>
        <v>1</v>
      </c>
      <c r="D372" s="1">
        <f t="shared" si="16"/>
        <v>4</v>
      </c>
      <c r="E372" s="1">
        <f t="shared" si="17"/>
        <v>0</v>
      </c>
    </row>
    <row r="373" spans="1:5" x14ac:dyDescent="0.25">
      <c r="A373" s="1">
        <v>371</v>
      </c>
      <c r="B373" s="1">
        <v>0.15162505920958913</v>
      </c>
      <c r="C373" s="1">
        <f t="shared" si="15"/>
        <v>0</v>
      </c>
      <c r="D373" s="1">
        <f t="shared" si="16"/>
        <v>3</v>
      </c>
      <c r="E373" s="1">
        <f t="shared" si="17"/>
        <v>0</v>
      </c>
    </row>
    <row r="374" spans="1:5" x14ac:dyDescent="0.25">
      <c r="A374" s="1">
        <v>372</v>
      </c>
      <c r="B374" s="1">
        <v>0.88139159181972471</v>
      </c>
      <c r="C374" s="1">
        <f t="shared" si="15"/>
        <v>3</v>
      </c>
      <c r="D374" s="1">
        <f t="shared" si="16"/>
        <v>4</v>
      </c>
      <c r="E374" s="1">
        <f t="shared" si="17"/>
        <v>1</v>
      </c>
    </row>
    <row r="375" spans="1:5" x14ac:dyDescent="0.25">
      <c r="A375" s="1">
        <v>373</v>
      </c>
      <c r="B375" s="1">
        <v>0.94620456899829952</v>
      </c>
      <c r="C375" s="1">
        <f t="shared" si="15"/>
        <v>3</v>
      </c>
      <c r="D375" s="1">
        <f t="shared" si="16"/>
        <v>4</v>
      </c>
      <c r="E375" s="1">
        <f t="shared" si="17"/>
        <v>2</v>
      </c>
    </row>
    <row r="376" spans="1:5" x14ac:dyDescent="0.25">
      <c r="A376" s="1">
        <v>374</v>
      </c>
      <c r="B376" s="1">
        <v>0.47171660960908679</v>
      </c>
      <c r="C376" s="1">
        <f t="shared" si="15"/>
        <v>1</v>
      </c>
      <c r="D376" s="1">
        <f t="shared" si="16"/>
        <v>4</v>
      </c>
      <c r="E376" s="1">
        <f t="shared" si="17"/>
        <v>0</v>
      </c>
    </row>
    <row r="377" spans="1:5" x14ac:dyDescent="0.25">
      <c r="A377" s="1">
        <v>375</v>
      </c>
      <c r="B377" s="1">
        <v>0.29838362690860198</v>
      </c>
      <c r="C377" s="1">
        <f t="shared" si="15"/>
        <v>1</v>
      </c>
      <c r="D377" s="1">
        <f t="shared" si="16"/>
        <v>4</v>
      </c>
      <c r="E377" s="1">
        <f t="shared" si="17"/>
        <v>0</v>
      </c>
    </row>
    <row r="378" spans="1:5" x14ac:dyDescent="0.25">
      <c r="A378" s="1">
        <v>376</v>
      </c>
      <c r="B378" s="1">
        <v>0.59211673208682736</v>
      </c>
      <c r="C378" s="1">
        <f t="shared" si="15"/>
        <v>2</v>
      </c>
      <c r="D378" s="1">
        <f t="shared" si="16"/>
        <v>4</v>
      </c>
      <c r="E378" s="1">
        <f t="shared" si="17"/>
        <v>1</v>
      </c>
    </row>
    <row r="379" spans="1:5" x14ac:dyDescent="0.25">
      <c r="A379" s="1">
        <v>377</v>
      </c>
      <c r="B379" s="1">
        <v>0.86156346663808958</v>
      </c>
      <c r="C379" s="1">
        <f t="shared" si="15"/>
        <v>3</v>
      </c>
      <c r="D379" s="1">
        <f t="shared" si="16"/>
        <v>4</v>
      </c>
      <c r="E379" s="1">
        <f t="shared" si="17"/>
        <v>2</v>
      </c>
    </row>
    <row r="380" spans="1:5" x14ac:dyDescent="0.25">
      <c r="A380" s="1">
        <v>378</v>
      </c>
      <c r="B380" s="1">
        <v>0.28513684638240988</v>
      </c>
      <c r="C380" s="1">
        <f t="shared" si="15"/>
        <v>1</v>
      </c>
      <c r="D380" s="1">
        <f t="shared" si="16"/>
        <v>4</v>
      </c>
      <c r="E380" s="1">
        <f t="shared" si="17"/>
        <v>0</v>
      </c>
    </row>
    <row r="381" spans="1:5" x14ac:dyDescent="0.25">
      <c r="A381" s="1">
        <v>379</v>
      </c>
      <c r="B381" s="1">
        <v>0.28602037228978994</v>
      </c>
      <c r="C381" s="1">
        <f t="shared" si="15"/>
        <v>1</v>
      </c>
      <c r="D381" s="1">
        <f t="shared" si="16"/>
        <v>4</v>
      </c>
      <c r="E381" s="1">
        <f t="shared" si="17"/>
        <v>0</v>
      </c>
    </row>
    <row r="382" spans="1:5" x14ac:dyDescent="0.25">
      <c r="A382" s="1">
        <v>380</v>
      </c>
      <c r="B382" s="1">
        <v>0.3973477637252576</v>
      </c>
      <c r="C382" s="1">
        <f t="shared" si="15"/>
        <v>1</v>
      </c>
      <c r="D382" s="1">
        <f t="shared" si="16"/>
        <v>4</v>
      </c>
      <c r="E382" s="1">
        <f t="shared" si="17"/>
        <v>0</v>
      </c>
    </row>
    <row r="383" spans="1:5" x14ac:dyDescent="0.25">
      <c r="A383" s="1">
        <v>381</v>
      </c>
      <c r="B383" s="1">
        <v>0.56208426816008961</v>
      </c>
      <c r="C383" s="1">
        <f t="shared" si="15"/>
        <v>2</v>
      </c>
      <c r="D383" s="1">
        <f t="shared" si="16"/>
        <v>4</v>
      </c>
      <c r="E383" s="1">
        <f t="shared" si="17"/>
        <v>1</v>
      </c>
    </row>
    <row r="384" spans="1:5" x14ac:dyDescent="0.25">
      <c r="A384" s="1">
        <v>382</v>
      </c>
      <c r="B384" s="1">
        <v>0.29552576637983852</v>
      </c>
      <c r="C384" s="1">
        <f t="shared" si="15"/>
        <v>1</v>
      </c>
      <c r="D384" s="1">
        <f t="shared" si="16"/>
        <v>4</v>
      </c>
      <c r="E384" s="1">
        <f t="shared" si="17"/>
        <v>0</v>
      </c>
    </row>
    <row r="385" spans="1:5" x14ac:dyDescent="0.25">
      <c r="A385" s="1">
        <v>383</v>
      </c>
      <c r="B385" s="1">
        <v>0.41266159201217545</v>
      </c>
      <c r="C385" s="1">
        <f t="shared" si="15"/>
        <v>1</v>
      </c>
      <c r="D385" s="1">
        <f t="shared" si="16"/>
        <v>4</v>
      </c>
      <c r="E385" s="1">
        <f t="shared" si="17"/>
        <v>0</v>
      </c>
    </row>
    <row r="386" spans="1:5" x14ac:dyDescent="0.25">
      <c r="A386" s="1">
        <v>384</v>
      </c>
      <c r="B386" s="1">
        <v>0.22178238194056799</v>
      </c>
      <c r="C386" s="1">
        <f t="shared" si="15"/>
        <v>0</v>
      </c>
      <c r="D386" s="1">
        <f t="shared" si="16"/>
        <v>3</v>
      </c>
      <c r="E386" s="1">
        <f t="shared" si="17"/>
        <v>0</v>
      </c>
    </row>
    <row r="387" spans="1:5" x14ac:dyDescent="0.25">
      <c r="A387" s="1">
        <v>385</v>
      </c>
      <c r="B387" s="1">
        <v>0.77631060469492374</v>
      </c>
      <c r="C387" s="1">
        <f t="shared" si="15"/>
        <v>3</v>
      </c>
      <c r="D387" s="1">
        <f t="shared" si="16"/>
        <v>4</v>
      </c>
      <c r="E387" s="1">
        <f t="shared" si="17"/>
        <v>1</v>
      </c>
    </row>
    <row r="388" spans="1:5" x14ac:dyDescent="0.25">
      <c r="A388" s="1">
        <v>386</v>
      </c>
      <c r="B388" s="1">
        <v>0.82973356083499361</v>
      </c>
      <c r="C388" s="1">
        <f t="shared" ref="C388:C451" si="18">IF(B388&lt;$L$7,$L$5,IF(B388&lt;$M$7,$M$5,IF(B388&lt;$N$7,$N$5,$O$5)))</f>
        <v>3</v>
      </c>
      <c r="D388" s="1">
        <f t="shared" ref="D388:D451" si="19">MAX(0,MIN(D387+C388-$L$10,$L$9))</f>
        <v>4</v>
      </c>
      <c r="E388" s="1">
        <f t="shared" ref="E388:E451" si="20">MAX(D387+C388-$L$10-$L$9,0)</f>
        <v>2</v>
      </c>
    </row>
    <row r="389" spans="1:5" x14ac:dyDescent="0.25">
      <c r="A389" s="1">
        <v>387</v>
      </c>
      <c r="B389" s="1">
        <v>0.73126521774449116</v>
      </c>
      <c r="C389" s="1">
        <f t="shared" si="18"/>
        <v>2</v>
      </c>
      <c r="D389" s="1">
        <f t="shared" si="19"/>
        <v>4</v>
      </c>
      <c r="E389" s="1">
        <f t="shared" si="20"/>
        <v>1</v>
      </c>
    </row>
    <row r="390" spans="1:5" x14ac:dyDescent="0.25">
      <c r="A390" s="1">
        <v>388</v>
      </c>
      <c r="B390" s="1">
        <v>0.67058016569481504</v>
      </c>
      <c r="C390" s="1">
        <f t="shared" si="18"/>
        <v>2</v>
      </c>
      <c r="D390" s="1">
        <f t="shared" si="19"/>
        <v>4</v>
      </c>
      <c r="E390" s="1">
        <f t="shared" si="20"/>
        <v>1</v>
      </c>
    </row>
    <row r="391" spans="1:5" x14ac:dyDescent="0.25">
      <c r="A391" s="1">
        <v>389</v>
      </c>
      <c r="B391" s="1">
        <v>0.31706227285639665</v>
      </c>
      <c r="C391" s="1">
        <f t="shared" si="18"/>
        <v>1</v>
      </c>
      <c r="D391" s="1">
        <f t="shared" si="19"/>
        <v>4</v>
      </c>
      <c r="E391" s="1">
        <f t="shared" si="20"/>
        <v>0</v>
      </c>
    </row>
    <row r="392" spans="1:5" x14ac:dyDescent="0.25">
      <c r="A392" s="1">
        <v>390</v>
      </c>
      <c r="B392" s="1">
        <v>0.2228094866367234</v>
      </c>
      <c r="C392" s="1">
        <f t="shared" si="18"/>
        <v>0</v>
      </c>
      <c r="D392" s="1">
        <f t="shared" si="19"/>
        <v>3</v>
      </c>
      <c r="E392" s="1">
        <f t="shared" si="20"/>
        <v>0</v>
      </c>
    </row>
    <row r="393" spans="1:5" x14ac:dyDescent="0.25">
      <c r="A393" s="1">
        <v>391</v>
      </c>
      <c r="B393" s="1">
        <v>0.75093574742386515</v>
      </c>
      <c r="C393" s="1">
        <f t="shared" si="18"/>
        <v>3</v>
      </c>
      <c r="D393" s="1">
        <f t="shared" si="19"/>
        <v>4</v>
      </c>
      <c r="E393" s="1">
        <f t="shared" si="20"/>
        <v>1</v>
      </c>
    </row>
    <row r="394" spans="1:5" x14ac:dyDescent="0.25">
      <c r="A394" s="1">
        <v>392</v>
      </c>
      <c r="B394" s="1">
        <v>0.64186760898332451</v>
      </c>
      <c r="C394" s="1">
        <f t="shared" si="18"/>
        <v>2</v>
      </c>
      <c r="D394" s="1">
        <f t="shared" si="19"/>
        <v>4</v>
      </c>
      <c r="E394" s="1">
        <f t="shared" si="20"/>
        <v>1</v>
      </c>
    </row>
    <row r="395" spans="1:5" x14ac:dyDescent="0.25">
      <c r="A395" s="1">
        <v>393</v>
      </c>
      <c r="B395" s="1">
        <v>0.5968517540381475</v>
      </c>
      <c r="C395" s="1">
        <f t="shared" si="18"/>
        <v>2</v>
      </c>
      <c r="D395" s="1">
        <f t="shared" si="19"/>
        <v>4</v>
      </c>
      <c r="E395" s="1">
        <f t="shared" si="20"/>
        <v>1</v>
      </c>
    </row>
    <row r="396" spans="1:5" x14ac:dyDescent="0.25">
      <c r="A396" s="1">
        <v>394</v>
      </c>
      <c r="B396" s="1">
        <v>0.65107825563636124</v>
      </c>
      <c r="C396" s="1">
        <f t="shared" si="18"/>
        <v>2</v>
      </c>
      <c r="D396" s="1">
        <f t="shared" si="19"/>
        <v>4</v>
      </c>
      <c r="E396" s="1">
        <f t="shared" si="20"/>
        <v>1</v>
      </c>
    </row>
    <row r="397" spans="1:5" x14ac:dyDescent="0.25">
      <c r="A397" s="1">
        <v>395</v>
      </c>
      <c r="B397" s="1">
        <v>5.6673705886245207E-2</v>
      </c>
      <c r="C397" s="1">
        <f t="shared" si="18"/>
        <v>0</v>
      </c>
      <c r="D397" s="1">
        <f t="shared" si="19"/>
        <v>3</v>
      </c>
      <c r="E397" s="1">
        <f t="shared" si="20"/>
        <v>0</v>
      </c>
    </row>
    <row r="398" spans="1:5" x14ac:dyDescent="0.25">
      <c r="A398" s="1">
        <v>396</v>
      </c>
      <c r="B398" s="1">
        <v>4.4660114212254021E-2</v>
      </c>
      <c r="C398" s="1">
        <f t="shared" si="18"/>
        <v>0</v>
      </c>
      <c r="D398" s="1">
        <f t="shared" si="19"/>
        <v>2</v>
      </c>
      <c r="E398" s="1">
        <f t="shared" si="20"/>
        <v>0</v>
      </c>
    </row>
    <row r="399" spans="1:5" x14ac:dyDescent="0.25">
      <c r="A399" s="1">
        <v>397</v>
      </c>
      <c r="B399" s="1">
        <v>0.98056082319251847</v>
      </c>
      <c r="C399" s="1">
        <f t="shared" si="18"/>
        <v>3</v>
      </c>
      <c r="D399" s="1">
        <f t="shared" si="19"/>
        <v>4</v>
      </c>
      <c r="E399" s="1">
        <f t="shared" si="20"/>
        <v>0</v>
      </c>
    </row>
    <row r="400" spans="1:5" x14ac:dyDescent="0.25">
      <c r="A400" s="1">
        <v>398</v>
      </c>
      <c r="B400" s="1">
        <v>0.39031204428878441</v>
      </c>
      <c r="C400" s="1">
        <f t="shared" si="18"/>
        <v>1</v>
      </c>
      <c r="D400" s="1">
        <f t="shared" si="19"/>
        <v>4</v>
      </c>
      <c r="E400" s="1">
        <f t="shared" si="20"/>
        <v>0</v>
      </c>
    </row>
    <row r="401" spans="1:5" x14ac:dyDescent="0.25">
      <c r="A401" s="1">
        <v>399</v>
      </c>
      <c r="B401" s="1">
        <v>0.98675390674058516</v>
      </c>
      <c r="C401" s="1">
        <f t="shared" si="18"/>
        <v>3</v>
      </c>
      <c r="D401" s="1">
        <f t="shared" si="19"/>
        <v>4</v>
      </c>
      <c r="E401" s="1">
        <f t="shared" si="20"/>
        <v>2</v>
      </c>
    </row>
    <row r="402" spans="1:5" x14ac:dyDescent="0.25">
      <c r="A402" s="1">
        <v>400</v>
      </c>
      <c r="B402" s="1">
        <v>0.43084029997921636</v>
      </c>
      <c r="C402" s="1">
        <f t="shared" si="18"/>
        <v>1</v>
      </c>
      <c r="D402" s="1">
        <f t="shared" si="19"/>
        <v>4</v>
      </c>
      <c r="E402" s="1">
        <f t="shared" si="20"/>
        <v>0</v>
      </c>
    </row>
    <row r="403" spans="1:5" x14ac:dyDescent="0.25">
      <c r="A403" s="1">
        <v>401</v>
      </c>
      <c r="B403" s="1">
        <v>0.96434080161717028</v>
      </c>
      <c r="C403" s="1">
        <f t="shared" si="18"/>
        <v>3</v>
      </c>
      <c r="D403" s="1">
        <f t="shared" si="19"/>
        <v>4</v>
      </c>
      <c r="E403" s="1">
        <f t="shared" si="20"/>
        <v>2</v>
      </c>
    </row>
    <row r="404" spans="1:5" x14ac:dyDescent="0.25">
      <c r="A404" s="1">
        <v>402</v>
      </c>
      <c r="B404" s="1">
        <v>0.74027618516315585</v>
      </c>
      <c r="C404" s="1">
        <f t="shared" si="18"/>
        <v>2</v>
      </c>
      <c r="D404" s="1">
        <f t="shared" si="19"/>
        <v>4</v>
      </c>
      <c r="E404" s="1">
        <f t="shared" si="20"/>
        <v>1</v>
      </c>
    </row>
    <row r="405" spans="1:5" x14ac:dyDescent="0.25">
      <c r="A405" s="1">
        <v>403</v>
      </c>
      <c r="B405" s="1">
        <v>0.25481692333905648</v>
      </c>
      <c r="C405" s="1">
        <f t="shared" si="18"/>
        <v>1</v>
      </c>
      <c r="D405" s="1">
        <f t="shared" si="19"/>
        <v>4</v>
      </c>
      <c r="E405" s="1">
        <f t="shared" si="20"/>
        <v>0</v>
      </c>
    </row>
    <row r="406" spans="1:5" x14ac:dyDescent="0.25">
      <c r="A406" s="1">
        <v>404</v>
      </c>
      <c r="B406" s="1">
        <v>0.67631004822947649</v>
      </c>
      <c r="C406" s="1">
        <f t="shared" si="18"/>
        <v>2</v>
      </c>
      <c r="D406" s="1">
        <f t="shared" si="19"/>
        <v>4</v>
      </c>
      <c r="E406" s="1">
        <f t="shared" si="20"/>
        <v>1</v>
      </c>
    </row>
    <row r="407" spans="1:5" x14ac:dyDescent="0.25">
      <c r="A407" s="1">
        <v>405</v>
      </c>
      <c r="B407" s="1">
        <v>0.15059847905263779</v>
      </c>
      <c r="C407" s="1">
        <f t="shared" si="18"/>
        <v>0</v>
      </c>
      <c r="D407" s="1">
        <f t="shared" si="19"/>
        <v>3</v>
      </c>
      <c r="E407" s="1">
        <f t="shared" si="20"/>
        <v>0</v>
      </c>
    </row>
    <row r="408" spans="1:5" x14ac:dyDescent="0.25">
      <c r="A408" s="1">
        <v>406</v>
      </c>
      <c r="B408" s="1">
        <v>0.22313346154816771</v>
      </c>
      <c r="C408" s="1">
        <f t="shared" si="18"/>
        <v>0</v>
      </c>
      <c r="D408" s="1">
        <f t="shared" si="19"/>
        <v>2</v>
      </c>
      <c r="E408" s="1">
        <f t="shared" si="20"/>
        <v>0</v>
      </c>
    </row>
    <row r="409" spans="1:5" x14ac:dyDescent="0.25">
      <c r="A409" s="1">
        <v>407</v>
      </c>
      <c r="B409" s="1">
        <v>0.23570025649449555</v>
      </c>
      <c r="C409" s="1">
        <f t="shared" si="18"/>
        <v>0</v>
      </c>
      <c r="D409" s="1">
        <f t="shared" si="19"/>
        <v>1</v>
      </c>
      <c r="E409" s="1">
        <f t="shared" si="20"/>
        <v>0</v>
      </c>
    </row>
    <row r="410" spans="1:5" x14ac:dyDescent="0.25">
      <c r="A410" s="1">
        <v>408</v>
      </c>
      <c r="B410" s="1">
        <v>0.16756667394249336</v>
      </c>
      <c r="C410" s="1">
        <f t="shared" si="18"/>
        <v>0</v>
      </c>
      <c r="D410" s="1">
        <f t="shared" si="19"/>
        <v>0</v>
      </c>
      <c r="E410" s="1">
        <f t="shared" si="20"/>
        <v>0</v>
      </c>
    </row>
    <row r="411" spans="1:5" x14ac:dyDescent="0.25">
      <c r="A411" s="1">
        <v>409</v>
      </c>
      <c r="B411" s="1">
        <v>7.6379905971781237E-2</v>
      </c>
      <c r="C411" s="1">
        <f t="shared" si="18"/>
        <v>0</v>
      </c>
      <c r="D411" s="1">
        <f t="shared" si="19"/>
        <v>0</v>
      </c>
      <c r="E411" s="1">
        <f t="shared" si="20"/>
        <v>0</v>
      </c>
    </row>
    <row r="412" spans="1:5" x14ac:dyDescent="0.25">
      <c r="A412" s="1">
        <v>410</v>
      </c>
      <c r="B412" s="1">
        <v>0.43735357971185718</v>
      </c>
      <c r="C412" s="1">
        <f t="shared" si="18"/>
        <v>1</v>
      </c>
      <c r="D412" s="1">
        <f t="shared" si="19"/>
        <v>0</v>
      </c>
      <c r="E412" s="1">
        <f t="shared" si="20"/>
        <v>0</v>
      </c>
    </row>
    <row r="413" spans="1:5" x14ac:dyDescent="0.25">
      <c r="A413" s="1">
        <v>411</v>
      </c>
      <c r="B413" s="1">
        <v>0.52060328172778814</v>
      </c>
      <c r="C413" s="1">
        <f t="shared" si="18"/>
        <v>2</v>
      </c>
      <c r="D413" s="1">
        <f t="shared" si="19"/>
        <v>1</v>
      </c>
      <c r="E413" s="1">
        <f t="shared" si="20"/>
        <v>0</v>
      </c>
    </row>
    <row r="414" spans="1:5" x14ac:dyDescent="0.25">
      <c r="A414" s="1">
        <v>412</v>
      </c>
      <c r="B414" s="1">
        <v>0.35638181184250139</v>
      </c>
      <c r="C414" s="1">
        <f t="shared" si="18"/>
        <v>1</v>
      </c>
      <c r="D414" s="1">
        <f t="shared" si="19"/>
        <v>1</v>
      </c>
      <c r="E414" s="1">
        <f t="shared" si="20"/>
        <v>0</v>
      </c>
    </row>
    <row r="415" spans="1:5" x14ac:dyDescent="0.25">
      <c r="A415" s="1">
        <v>413</v>
      </c>
      <c r="B415" s="1">
        <v>0.21721832981712086</v>
      </c>
      <c r="C415" s="1">
        <f t="shared" si="18"/>
        <v>0</v>
      </c>
      <c r="D415" s="1">
        <f t="shared" si="19"/>
        <v>0</v>
      </c>
      <c r="E415" s="1">
        <f t="shared" si="20"/>
        <v>0</v>
      </c>
    </row>
    <row r="416" spans="1:5" x14ac:dyDescent="0.25">
      <c r="A416" s="1">
        <v>414</v>
      </c>
      <c r="B416" s="1">
        <v>0.34740070642209731</v>
      </c>
      <c r="C416" s="1">
        <f t="shared" si="18"/>
        <v>1</v>
      </c>
      <c r="D416" s="1">
        <f t="shared" si="19"/>
        <v>0</v>
      </c>
      <c r="E416" s="1">
        <f t="shared" si="20"/>
        <v>0</v>
      </c>
    </row>
    <row r="417" spans="1:5" x14ac:dyDescent="0.25">
      <c r="A417" s="1">
        <v>415</v>
      </c>
      <c r="B417" s="1">
        <v>4.5946309019026077E-2</v>
      </c>
      <c r="C417" s="1">
        <f t="shared" si="18"/>
        <v>0</v>
      </c>
      <c r="D417" s="1">
        <f t="shared" si="19"/>
        <v>0</v>
      </c>
      <c r="E417" s="1">
        <f t="shared" si="20"/>
        <v>0</v>
      </c>
    </row>
    <row r="418" spans="1:5" x14ac:dyDescent="0.25">
      <c r="A418" s="1">
        <v>416</v>
      </c>
      <c r="B418" s="1">
        <v>0.2777575468442296</v>
      </c>
      <c r="C418" s="1">
        <f t="shared" si="18"/>
        <v>1</v>
      </c>
      <c r="D418" s="1">
        <f t="shared" si="19"/>
        <v>0</v>
      </c>
      <c r="E418" s="1">
        <f t="shared" si="20"/>
        <v>0</v>
      </c>
    </row>
    <row r="419" spans="1:5" x14ac:dyDescent="0.25">
      <c r="A419" s="1">
        <v>417</v>
      </c>
      <c r="B419" s="1">
        <v>0.58808852913786702</v>
      </c>
      <c r="C419" s="1">
        <f t="shared" si="18"/>
        <v>2</v>
      </c>
      <c r="D419" s="1">
        <f t="shared" si="19"/>
        <v>1</v>
      </c>
      <c r="E419" s="1">
        <f t="shared" si="20"/>
        <v>0</v>
      </c>
    </row>
    <row r="420" spans="1:5" x14ac:dyDescent="0.25">
      <c r="A420" s="1">
        <v>418</v>
      </c>
      <c r="B420" s="1">
        <v>0.21383452201132869</v>
      </c>
      <c r="C420" s="1">
        <f t="shared" si="18"/>
        <v>0</v>
      </c>
      <c r="D420" s="1">
        <f t="shared" si="19"/>
        <v>0</v>
      </c>
      <c r="E420" s="1">
        <f t="shared" si="20"/>
        <v>0</v>
      </c>
    </row>
    <row r="421" spans="1:5" x14ac:dyDescent="0.25">
      <c r="A421" s="1">
        <v>419</v>
      </c>
      <c r="B421" s="1">
        <v>0.10534128207457327</v>
      </c>
      <c r="C421" s="1">
        <f t="shared" si="18"/>
        <v>0</v>
      </c>
      <c r="D421" s="1">
        <f t="shared" si="19"/>
        <v>0</v>
      </c>
      <c r="E421" s="1">
        <f t="shared" si="20"/>
        <v>0</v>
      </c>
    </row>
    <row r="422" spans="1:5" x14ac:dyDescent="0.25">
      <c r="A422" s="1">
        <v>420</v>
      </c>
      <c r="B422" s="1">
        <v>0.98446592985518289</v>
      </c>
      <c r="C422" s="1">
        <f t="shared" si="18"/>
        <v>3</v>
      </c>
      <c r="D422" s="1">
        <f t="shared" si="19"/>
        <v>2</v>
      </c>
      <c r="E422" s="1">
        <f t="shared" si="20"/>
        <v>0</v>
      </c>
    </row>
    <row r="423" spans="1:5" x14ac:dyDescent="0.25">
      <c r="A423" s="1">
        <v>421</v>
      </c>
      <c r="B423" s="1">
        <v>0.65957178467286981</v>
      </c>
      <c r="C423" s="1">
        <f t="shared" si="18"/>
        <v>2</v>
      </c>
      <c r="D423" s="1">
        <f t="shared" si="19"/>
        <v>3</v>
      </c>
      <c r="E423" s="1">
        <f t="shared" si="20"/>
        <v>0</v>
      </c>
    </row>
    <row r="424" spans="1:5" x14ac:dyDescent="0.25">
      <c r="A424" s="1">
        <v>422</v>
      </c>
      <c r="B424" s="1">
        <v>4.0832101977957169E-2</v>
      </c>
      <c r="C424" s="1">
        <f t="shared" si="18"/>
        <v>0</v>
      </c>
      <c r="D424" s="1">
        <f t="shared" si="19"/>
        <v>2</v>
      </c>
      <c r="E424" s="1">
        <f t="shared" si="20"/>
        <v>0</v>
      </c>
    </row>
    <row r="425" spans="1:5" x14ac:dyDescent="0.25">
      <c r="A425" s="1">
        <v>423</v>
      </c>
      <c r="B425" s="1">
        <v>8.7838406976922023E-2</v>
      </c>
      <c r="C425" s="1">
        <f t="shared" si="18"/>
        <v>0</v>
      </c>
      <c r="D425" s="1">
        <f t="shared" si="19"/>
        <v>1</v>
      </c>
      <c r="E425" s="1">
        <f t="shared" si="20"/>
        <v>0</v>
      </c>
    </row>
    <row r="426" spans="1:5" x14ac:dyDescent="0.25">
      <c r="A426" s="1">
        <v>424</v>
      </c>
      <c r="B426" s="1">
        <v>0.58807274037177004</v>
      </c>
      <c r="C426" s="1">
        <f t="shared" si="18"/>
        <v>2</v>
      </c>
      <c r="D426" s="1">
        <f t="shared" si="19"/>
        <v>2</v>
      </c>
      <c r="E426" s="1">
        <f t="shared" si="20"/>
        <v>0</v>
      </c>
    </row>
    <row r="427" spans="1:5" x14ac:dyDescent="0.25">
      <c r="A427" s="1">
        <v>425</v>
      </c>
      <c r="B427" s="1">
        <v>0.53174621619996021</v>
      </c>
      <c r="C427" s="1">
        <f t="shared" si="18"/>
        <v>2</v>
      </c>
      <c r="D427" s="1">
        <f t="shared" si="19"/>
        <v>3</v>
      </c>
      <c r="E427" s="1">
        <f t="shared" si="20"/>
        <v>0</v>
      </c>
    </row>
    <row r="428" spans="1:5" x14ac:dyDescent="0.25">
      <c r="A428" s="1">
        <v>426</v>
      </c>
      <c r="B428" s="1">
        <v>0.42029350632400209</v>
      </c>
      <c r="C428" s="1">
        <f t="shared" si="18"/>
        <v>1</v>
      </c>
      <c r="D428" s="1">
        <f t="shared" si="19"/>
        <v>3</v>
      </c>
      <c r="E428" s="1">
        <f t="shared" si="20"/>
        <v>0</v>
      </c>
    </row>
    <row r="429" spans="1:5" x14ac:dyDescent="0.25">
      <c r="A429" s="1">
        <v>427</v>
      </c>
      <c r="B429" s="1">
        <v>0.11419020637289923</v>
      </c>
      <c r="C429" s="1">
        <f t="shared" si="18"/>
        <v>0</v>
      </c>
      <c r="D429" s="1">
        <f t="shared" si="19"/>
        <v>2</v>
      </c>
      <c r="E429" s="1">
        <f t="shared" si="20"/>
        <v>0</v>
      </c>
    </row>
    <row r="430" spans="1:5" x14ac:dyDescent="0.25">
      <c r="A430" s="1">
        <v>428</v>
      </c>
      <c r="B430" s="1">
        <v>0.32204213887759836</v>
      </c>
      <c r="C430" s="1">
        <f t="shared" si="18"/>
        <v>1</v>
      </c>
      <c r="D430" s="1">
        <f t="shared" si="19"/>
        <v>2</v>
      </c>
      <c r="E430" s="1">
        <f t="shared" si="20"/>
        <v>0</v>
      </c>
    </row>
    <row r="431" spans="1:5" x14ac:dyDescent="0.25">
      <c r="A431" s="1">
        <v>429</v>
      </c>
      <c r="B431" s="1">
        <v>0.28925654219736552</v>
      </c>
      <c r="C431" s="1">
        <f t="shared" si="18"/>
        <v>1</v>
      </c>
      <c r="D431" s="1">
        <f t="shared" si="19"/>
        <v>2</v>
      </c>
      <c r="E431" s="1">
        <f t="shared" si="20"/>
        <v>0</v>
      </c>
    </row>
    <row r="432" spans="1:5" x14ac:dyDescent="0.25">
      <c r="A432" s="1">
        <v>430</v>
      </c>
      <c r="B432" s="1">
        <v>0.19628777174919143</v>
      </c>
      <c r="C432" s="1">
        <f t="shared" si="18"/>
        <v>0</v>
      </c>
      <c r="D432" s="1">
        <f t="shared" si="19"/>
        <v>1</v>
      </c>
      <c r="E432" s="1">
        <f t="shared" si="20"/>
        <v>0</v>
      </c>
    </row>
    <row r="433" spans="1:5" x14ac:dyDescent="0.25">
      <c r="A433" s="1">
        <v>431</v>
      </c>
      <c r="B433" s="1">
        <v>0.84086130070254683</v>
      </c>
      <c r="C433" s="1">
        <f t="shared" si="18"/>
        <v>3</v>
      </c>
      <c r="D433" s="1">
        <f t="shared" si="19"/>
        <v>3</v>
      </c>
      <c r="E433" s="1">
        <f t="shared" si="20"/>
        <v>0</v>
      </c>
    </row>
    <row r="434" spans="1:5" x14ac:dyDescent="0.25">
      <c r="A434" s="1">
        <v>432</v>
      </c>
      <c r="B434" s="1">
        <v>0.94347646607969582</v>
      </c>
      <c r="C434" s="1">
        <f t="shared" si="18"/>
        <v>3</v>
      </c>
      <c r="D434" s="1">
        <f t="shared" si="19"/>
        <v>4</v>
      </c>
      <c r="E434" s="1">
        <f t="shared" si="20"/>
        <v>1</v>
      </c>
    </row>
    <row r="435" spans="1:5" x14ac:dyDescent="0.25">
      <c r="A435" s="1">
        <v>433</v>
      </c>
      <c r="B435" s="1">
        <v>0.99199133431520736</v>
      </c>
      <c r="C435" s="1">
        <f t="shared" si="18"/>
        <v>3</v>
      </c>
      <c r="D435" s="1">
        <f t="shared" si="19"/>
        <v>4</v>
      </c>
      <c r="E435" s="1">
        <f t="shared" si="20"/>
        <v>2</v>
      </c>
    </row>
    <row r="436" spans="1:5" x14ac:dyDescent="0.25">
      <c r="A436" s="1">
        <v>434</v>
      </c>
      <c r="B436" s="1">
        <v>0.56247706820045928</v>
      </c>
      <c r="C436" s="1">
        <f t="shared" si="18"/>
        <v>2</v>
      </c>
      <c r="D436" s="1">
        <f t="shared" si="19"/>
        <v>4</v>
      </c>
      <c r="E436" s="1">
        <f t="shared" si="20"/>
        <v>1</v>
      </c>
    </row>
    <row r="437" spans="1:5" x14ac:dyDescent="0.25">
      <c r="A437" s="1">
        <v>435</v>
      </c>
      <c r="B437" s="1">
        <v>0.37888009783722798</v>
      </c>
      <c r="C437" s="1">
        <f t="shared" si="18"/>
        <v>1</v>
      </c>
      <c r="D437" s="1">
        <f t="shared" si="19"/>
        <v>4</v>
      </c>
      <c r="E437" s="1">
        <f t="shared" si="20"/>
        <v>0</v>
      </c>
    </row>
    <row r="438" spans="1:5" x14ac:dyDescent="0.25">
      <c r="A438" s="1">
        <v>436</v>
      </c>
      <c r="B438" s="1">
        <v>0.15486535781182698</v>
      </c>
      <c r="C438" s="1">
        <f t="shared" si="18"/>
        <v>0</v>
      </c>
      <c r="D438" s="1">
        <f t="shared" si="19"/>
        <v>3</v>
      </c>
      <c r="E438" s="1">
        <f t="shared" si="20"/>
        <v>0</v>
      </c>
    </row>
    <row r="439" spans="1:5" x14ac:dyDescent="0.25">
      <c r="A439" s="1">
        <v>437</v>
      </c>
      <c r="B439" s="1">
        <v>0.17781411982107387</v>
      </c>
      <c r="C439" s="1">
        <f t="shared" si="18"/>
        <v>0</v>
      </c>
      <c r="D439" s="1">
        <f t="shared" si="19"/>
        <v>2</v>
      </c>
      <c r="E439" s="1">
        <f t="shared" si="20"/>
        <v>0</v>
      </c>
    </row>
    <row r="440" spans="1:5" x14ac:dyDescent="0.25">
      <c r="A440" s="1">
        <v>438</v>
      </c>
      <c r="B440" s="1">
        <v>0.26017320837904123</v>
      </c>
      <c r="C440" s="1">
        <f t="shared" si="18"/>
        <v>1</v>
      </c>
      <c r="D440" s="1">
        <f t="shared" si="19"/>
        <v>2</v>
      </c>
      <c r="E440" s="1">
        <f t="shared" si="20"/>
        <v>0</v>
      </c>
    </row>
    <row r="441" spans="1:5" x14ac:dyDescent="0.25">
      <c r="A441" s="1">
        <v>439</v>
      </c>
      <c r="B441" s="1">
        <v>0.96843181333568829</v>
      </c>
      <c r="C441" s="1">
        <f t="shared" si="18"/>
        <v>3</v>
      </c>
      <c r="D441" s="1">
        <f t="shared" si="19"/>
        <v>4</v>
      </c>
      <c r="E441" s="1">
        <f t="shared" si="20"/>
        <v>0</v>
      </c>
    </row>
    <row r="442" spans="1:5" x14ac:dyDescent="0.25">
      <c r="A442" s="1">
        <v>440</v>
      </c>
      <c r="B442" s="1">
        <v>0.75469876441527628</v>
      </c>
      <c r="C442" s="1">
        <f t="shared" si="18"/>
        <v>3</v>
      </c>
      <c r="D442" s="1">
        <f t="shared" si="19"/>
        <v>4</v>
      </c>
      <c r="E442" s="1">
        <f t="shared" si="20"/>
        <v>2</v>
      </c>
    </row>
    <row r="443" spans="1:5" x14ac:dyDescent="0.25">
      <c r="A443" s="1">
        <v>441</v>
      </c>
      <c r="B443" s="1">
        <v>0.7273661569562172</v>
      </c>
      <c r="C443" s="1">
        <f t="shared" si="18"/>
        <v>2</v>
      </c>
      <c r="D443" s="1">
        <f t="shared" si="19"/>
        <v>4</v>
      </c>
      <c r="E443" s="1">
        <f t="shared" si="20"/>
        <v>1</v>
      </c>
    </row>
    <row r="444" spans="1:5" x14ac:dyDescent="0.25">
      <c r="A444" s="1">
        <v>442</v>
      </c>
      <c r="B444" s="1">
        <v>0.87954002685311994</v>
      </c>
      <c r="C444" s="1">
        <f t="shared" si="18"/>
        <v>3</v>
      </c>
      <c r="D444" s="1">
        <f t="shared" si="19"/>
        <v>4</v>
      </c>
      <c r="E444" s="1">
        <f t="shared" si="20"/>
        <v>2</v>
      </c>
    </row>
    <row r="445" spans="1:5" x14ac:dyDescent="0.25">
      <c r="A445" s="1">
        <v>443</v>
      </c>
      <c r="B445" s="1">
        <v>0.65720998622711058</v>
      </c>
      <c r="C445" s="1">
        <f t="shared" si="18"/>
        <v>2</v>
      </c>
      <c r="D445" s="1">
        <f t="shared" si="19"/>
        <v>4</v>
      </c>
      <c r="E445" s="1">
        <f t="shared" si="20"/>
        <v>1</v>
      </c>
    </row>
    <row r="446" spans="1:5" x14ac:dyDescent="0.25">
      <c r="A446" s="1">
        <v>444</v>
      </c>
      <c r="B446" s="1">
        <v>0.4497177734673975</v>
      </c>
      <c r="C446" s="1">
        <f t="shared" si="18"/>
        <v>1</v>
      </c>
      <c r="D446" s="1">
        <f t="shared" si="19"/>
        <v>4</v>
      </c>
      <c r="E446" s="1">
        <f t="shared" si="20"/>
        <v>0</v>
      </c>
    </row>
    <row r="447" spans="1:5" x14ac:dyDescent="0.25">
      <c r="A447" s="1">
        <v>445</v>
      </c>
      <c r="B447" s="1">
        <v>0.81165901362979909</v>
      </c>
      <c r="C447" s="1">
        <f t="shared" si="18"/>
        <v>3</v>
      </c>
      <c r="D447" s="1">
        <f t="shared" si="19"/>
        <v>4</v>
      </c>
      <c r="E447" s="1">
        <f t="shared" si="20"/>
        <v>2</v>
      </c>
    </row>
    <row r="448" spans="1:5" x14ac:dyDescent="0.25">
      <c r="A448" s="1">
        <v>446</v>
      </c>
      <c r="B448" s="1">
        <v>9.292112493523208E-2</v>
      </c>
      <c r="C448" s="1">
        <f t="shared" si="18"/>
        <v>0</v>
      </c>
      <c r="D448" s="1">
        <f t="shared" si="19"/>
        <v>3</v>
      </c>
      <c r="E448" s="1">
        <f t="shared" si="20"/>
        <v>0</v>
      </c>
    </row>
    <row r="449" spans="1:5" x14ac:dyDescent="0.25">
      <c r="A449" s="1">
        <v>447</v>
      </c>
      <c r="B449" s="1">
        <v>0.78166094856217994</v>
      </c>
      <c r="C449" s="1">
        <f t="shared" si="18"/>
        <v>3</v>
      </c>
      <c r="D449" s="1">
        <f t="shared" si="19"/>
        <v>4</v>
      </c>
      <c r="E449" s="1">
        <f t="shared" si="20"/>
        <v>1</v>
      </c>
    </row>
    <row r="450" spans="1:5" x14ac:dyDescent="0.25">
      <c r="A450" s="1">
        <v>448</v>
      </c>
      <c r="B450" s="1">
        <v>0.44927845035106884</v>
      </c>
      <c r="C450" s="1">
        <f t="shared" si="18"/>
        <v>1</v>
      </c>
      <c r="D450" s="1">
        <f t="shared" si="19"/>
        <v>4</v>
      </c>
      <c r="E450" s="1">
        <f t="shared" si="20"/>
        <v>0</v>
      </c>
    </row>
    <row r="451" spans="1:5" x14ac:dyDescent="0.25">
      <c r="A451" s="1">
        <v>449</v>
      </c>
      <c r="B451" s="1">
        <v>0.86217994159593103</v>
      </c>
      <c r="C451" s="1">
        <f t="shared" si="18"/>
        <v>3</v>
      </c>
      <c r="D451" s="1">
        <f t="shared" si="19"/>
        <v>4</v>
      </c>
      <c r="E451" s="1">
        <f t="shared" si="20"/>
        <v>2</v>
      </c>
    </row>
    <row r="452" spans="1:5" x14ac:dyDescent="0.25">
      <c r="A452" s="1">
        <v>450</v>
      </c>
      <c r="B452" s="1">
        <v>0.7245987167869532</v>
      </c>
      <c r="C452" s="1">
        <f t="shared" ref="C452:C482" si="21">IF(B452&lt;$L$7,$L$5,IF(B452&lt;$M$7,$M$5,IF(B452&lt;$N$7,$N$5,$O$5)))</f>
        <v>2</v>
      </c>
      <c r="D452" s="1">
        <f t="shared" ref="D452:D482" si="22">MAX(0,MIN(D451+C452-$L$10,$L$9))</f>
        <v>4</v>
      </c>
      <c r="E452" s="1">
        <f t="shared" ref="E452:E482" si="23">MAX(D451+C452-$L$10-$L$9,0)</f>
        <v>1</v>
      </c>
    </row>
    <row r="453" spans="1:5" x14ac:dyDescent="0.25">
      <c r="A453" s="1">
        <v>451</v>
      </c>
      <c r="B453" s="1">
        <v>0.76305137125211053</v>
      </c>
      <c r="C453" s="1">
        <f t="shared" si="21"/>
        <v>3</v>
      </c>
      <c r="D453" s="1">
        <f t="shared" si="22"/>
        <v>4</v>
      </c>
      <c r="E453" s="1">
        <f t="shared" si="23"/>
        <v>2</v>
      </c>
    </row>
    <row r="454" spans="1:5" x14ac:dyDescent="0.25">
      <c r="A454" s="1">
        <v>452</v>
      </c>
      <c r="B454" s="1">
        <v>0.49469021735372531</v>
      </c>
      <c r="C454" s="1">
        <f t="shared" si="21"/>
        <v>1</v>
      </c>
      <c r="D454" s="1">
        <f t="shared" si="22"/>
        <v>4</v>
      </c>
      <c r="E454" s="1">
        <f t="shared" si="23"/>
        <v>0</v>
      </c>
    </row>
    <row r="455" spans="1:5" x14ac:dyDescent="0.25">
      <c r="A455" s="1">
        <v>453</v>
      </c>
      <c r="B455" s="1">
        <v>0.93456902109713402</v>
      </c>
      <c r="C455" s="1">
        <f t="shared" si="21"/>
        <v>3</v>
      </c>
      <c r="D455" s="1">
        <f t="shared" si="22"/>
        <v>4</v>
      </c>
      <c r="E455" s="1">
        <f t="shared" si="23"/>
        <v>2</v>
      </c>
    </row>
    <row r="456" spans="1:5" x14ac:dyDescent="0.25">
      <c r="A456" s="1">
        <v>454</v>
      </c>
      <c r="B456" s="1">
        <v>0.28565178013226411</v>
      </c>
      <c r="C456" s="1">
        <f t="shared" si="21"/>
        <v>1</v>
      </c>
      <c r="D456" s="1">
        <f t="shared" si="22"/>
        <v>4</v>
      </c>
      <c r="E456" s="1">
        <f t="shared" si="23"/>
        <v>0</v>
      </c>
    </row>
    <row r="457" spans="1:5" x14ac:dyDescent="0.25">
      <c r="A457" s="1">
        <v>455</v>
      </c>
      <c r="B457" s="1">
        <v>0.51682623576455378</v>
      </c>
      <c r="C457" s="1">
        <f t="shared" si="21"/>
        <v>2</v>
      </c>
      <c r="D457" s="1">
        <f t="shared" si="22"/>
        <v>4</v>
      </c>
      <c r="E457" s="1">
        <f t="shared" si="23"/>
        <v>1</v>
      </c>
    </row>
    <row r="458" spans="1:5" x14ac:dyDescent="0.25">
      <c r="A458" s="1">
        <v>456</v>
      </c>
      <c r="B458" s="1">
        <v>0.48400585443836963</v>
      </c>
      <c r="C458" s="1">
        <f t="shared" si="21"/>
        <v>1</v>
      </c>
      <c r="D458" s="1">
        <f t="shared" si="22"/>
        <v>4</v>
      </c>
      <c r="E458" s="1">
        <f t="shared" si="23"/>
        <v>0</v>
      </c>
    </row>
    <row r="459" spans="1:5" x14ac:dyDescent="0.25">
      <c r="A459" s="1">
        <v>457</v>
      </c>
      <c r="B459" s="1">
        <v>0.91752219621472797</v>
      </c>
      <c r="C459" s="1">
        <f t="shared" si="21"/>
        <v>3</v>
      </c>
      <c r="D459" s="1">
        <f t="shared" si="22"/>
        <v>4</v>
      </c>
      <c r="E459" s="1">
        <f t="shared" si="23"/>
        <v>2</v>
      </c>
    </row>
    <row r="460" spans="1:5" x14ac:dyDescent="0.25">
      <c r="A460" s="1">
        <v>458</v>
      </c>
      <c r="B460" s="1">
        <v>0.78420693726996271</v>
      </c>
      <c r="C460" s="1">
        <f t="shared" si="21"/>
        <v>3</v>
      </c>
      <c r="D460" s="1">
        <f t="shared" si="22"/>
        <v>4</v>
      </c>
      <c r="E460" s="1">
        <f t="shared" si="23"/>
        <v>2</v>
      </c>
    </row>
    <row r="461" spans="1:5" x14ac:dyDescent="0.25">
      <c r="A461" s="1">
        <v>459</v>
      </c>
      <c r="B461" s="1">
        <v>0.3702906090347533</v>
      </c>
      <c r="C461" s="1">
        <f t="shared" si="21"/>
        <v>1</v>
      </c>
      <c r="D461" s="1">
        <f t="shared" si="22"/>
        <v>4</v>
      </c>
      <c r="E461" s="1">
        <f t="shared" si="23"/>
        <v>0</v>
      </c>
    </row>
    <row r="462" spans="1:5" x14ac:dyDescent="0.25">
      <c r="A462" s="1">
        <v>460</v>
      </c>
      <c r="B462" s="1">
        <v>0.48668223807020761</v>
      </c>
      <c r="C462" s="1">
        <f t="shared" si="21"/>
        <v>1</v>
      </c>
      <c r="D462" s="1">
        <f t="shared" si="22"/>
        <v>4</v>
      </c>
      <c r="E462" s="1">
        <f t="shared" si="23"/>
        <v>0</v>
      </c>
    </row>
    <row r="463" spans="1:5" x14ac:dyDescent="0.25">
      <c r="A463" s="1">
        <v>461</v>
      </c>
      <c r="B463" s="1">
        <v>0.87838576918102418</v>
      </c>
      <c r="C463" s="1">
        <f t="shared" si="21"/>
        <v>3</v>
      </c>
      <c r="D463" s="1">
        <f t="shared" si="22"/>
        <v>4</v>
      </c>
      <c r="E463" s="1">
        <f t="shared" si="23"/>
        <v>2</v>
      </c>
    </row>
    <row r="464" spans="1:5" x14ac:dyDescent="0.25">
      <c r="A464" s="1">
        <v>462</v>
      </c>
      <c r="B464" s="1">
        <v>0.4045893262291308</v>
      </c>
      <c r="C464" s="1">
        <f t="shared" si="21"/>
        <v>1</v>
      </c>
      <c r="D464" s="1">
        <f t="shared" si="22"/>
        <v>4</v>
      </c>
      <c r="E464" s="1">
        <f t="shared" si="23"/>
        <v>0</v>
      </c>
    </row>
    <row r="465" spans="1:5" x14ac:dyDescent="0.25">
      <c r="A465" s="1">
        <v>463</v>
      </c>
      <c r="B465" s="1">
        <v>2.9488134784919406E-2</v>
      </c>
      <c r="C465" s="1">
        <f t="shared" si="21"/>
        <v>0</v>
      </c>
      <c r="D465" s="1">
        <f t="shared" si="22"/>
        <v>3</v>
      </c>
      <c r="E465" s="1">
        <f t="shared" si="23"/>
        <v>0</v>
      </c>
    </row>
    <row r="466" spans="1:5" x14ac:dyDescent="0.25">
      <c r="A466" s="1">
        <v>464</v>
      </c>
      <c r="B466" s="1">
        <v>0.73184779074771733</v>
      </c>
      <c r="C466" s="1">
        <f t="shared" si="21"/>
        <v>2</v>
      </c>
      <c r="D466" s="1">
        <f t="shared" si="22"/>
        <v>4</v>
      </c>
      <c r="E466" s="1">
        <f t="shared" si="23"/>
        <v>0</v>
      </c>
    </row>
    <row r="467" spans="1:5" x14ac:dyDescent="0.25">
      <c r="A467" s="1">
        <v>465</v>
      </c>
      <c r="B467" s="1">
        <v>0.5431963165058995</v>
      </c>
      <c r="C467" s="1">
        <f t="shared" si="21"/>
        <v>2</v>
      </c>
      <c r="D467" s="1">
        <f t="shared" si="22"/>
        <v>4</v>
      </c>
      <c r="E467" s="1">
        <f t="shared" si="23"/>
        <v>1</v>
      </c>
    </row>
    <row r="468" spans="1:5" x14ac:dyDescent="0.25">
      <c r="A468" s="1">
        <v>466</v>
      </c>
      <c r="B468" s="1">
        <v>0.65005713059414816</v>
      </c>
      <c r="C468" s="1">
        <f t="shared" si="21"/>
        <v>2</v>
      </c>
      <c r="D468" s="1">
        <f t="shared" si="22"/>
        <v>4</v>
      </c>
      <c r="E468" s="1">
        <f t="shared" si="23"/>
        <v>1</v>
      </c>
    </row>
    <row r="469" spans="1:5" x14ac:dyDescent="0.25">
      <c r="A469" s="1">
        <v>467</v>
      </c>
      <c r="B469" s="1">
        <v>0.5898074791408634</v>
      </c>
      <c r="C469" s="1">
        <f t="shared" si="21"/>
        <v>2</v>
      </c>
      <c r="D469" s="1">
        <f t="shared" si="22"/>
        <v>4</v>
      </c>
      <c r="E469" s="1">
        <f t="shared" si="23"/>
        <v>1</v>
      </c>
    </row>
    <row r="470" spans="1:5" x14ac:dyDescent="0.25">
      <c r="A470" s="1">
        <v>468</v>
      </c>
      <c r="B470" s="1">
        <v>0.47804019551050758</v>
      </c>
      <c r="C470" s="1">
        <f t="shared" si="21"/>
        <v>1</v>
      </c>
      <c r="D470" s="1">
        <f t="shared" si="22"/>
        <v>4</v>
      </c>
      <c r="E470" s="1">
        <f t="shared" si="23"/>
        <v>0</v>
      </c>
    </row>
    <row r="471" spans="1:5" x14ac:dyDescent="0.25">
      <c r="A471" s="1">
        <v>469</v>
      </c>
      <c r="B471" s="1">
        <v>0.10770083132718355</v>
      </c>
      <c r="C471" s="1">
        <f t="shared" si="21"/>
        <v>0</v>
      </c>
      <c r="D471" s="1">
        <f t="shared" si="22"/>
        <v>3</v>
      </c>
      <c r="E471" s="1">
        <f t="shared" si="23"/>
        <v>0</v>
      </c>
    </row>
    <row r="472" spans="1:5" x14ac:dyDescent="0.25">
      <c r="A472" s="1">
        <v>470</v>
      </c>
      <c r="B472" s="1">
        <v>0.85545512686475011</v>
      </c>
      <c r="C472" s="1">
        <f t="shared" si="21"/>
        <v>3</v>
      </c>
      <c r="D472" s="1">
        <f t="shared" si="22"/>
        <v>4</v>
      </c>
      <c r="E472" s="1">
        <f t="shared" si="23"/>
        <v>1</v>
      </c>
    </row>
    <row r="473" spans="1:5" x14ac:dyDescent="0.25">
      <c r="A473" s="1">
        <v>471</v>
      </c>
      <c r="B473" s="1">
        <v>0.48522231475145239</v>
      </c>
      <c r="C473" s="1">
        <f t="shared" si="21"/>
        <v>1</v>
      </c>
      <c r="D473" s="1">
        <f t="shared" si="22"/>
        <v>4</v>
      </c>
      <c r="E473" s="1">
        <f t="shared" si="23"/>
        <v>0</v>
      </c>
    </row>
    <row r="474" spans="1:5" x14ac:dyDescent="0.25">
      <c r="A474" s="1">
        <v>472</v>
      </c>
      <c r="B474" s="1">
        <v>0.33869045132699205</v>
      </c>
      <c r="C474" s="1">
        <f t="shared" si="21"/>
        <v>1</v>
      </c>
      <c r="D474" s="1">
        <f t="shared" si="22"/>
        <v>4</v>
      </c>
      <c r="E474" s="1">
        <f t="shared" si="23"/>
        <v>0</v>
      </c>
    </row>
    <row r="475" spans="1:5" x14ac:dyDescent="0.25">
      <c r="A475" s="1">
        <v>473</v>
      </c>
      <c r="B475" s="1">
        <v>0.62274030698889293</v>
      </c>
      <c r="C475" s="1">
        <f t="shared" si="21"/>
        <v>2</v>
      </c>
      <c r="D475" s="1">
        <f t="shared" si="22"/>
        <v>4</v>
      </c>
      <c r="E475" s="1">
        <f t="shared" si="23"/>
        <v>1</v>
      </c>
    </row>
    <row r="476" spans="1:5" x14ac:dyDescent="0.25">
      <c r="A476" s="1">
        <v>474</v>
      </c>
      <c r="B476" s="1">
        <v>0.92500952257729274</v>
      </c>
      <c r="C476" s="1">
        <f t="shared" si="21"/>
        <v>3</v>
      </c>
      <c r="D476" s="1">
        <f t="shared" si="22"/>
        <v>4</v>
      </c>
      <c r="E476" s="1">
        <f t="shared" si="23"/>
        <v>2</v>
      </c>
    </row>
    <row r="477" spans="1:5" x14ac:dyDescent="0.25">
      <c r="A477" s="1">
        <v>475</v>
      </c>
      <c r="B477" s="1">
        <v>0.80822458351398829</v>
      </c>
      <c r="C477" s="1">
        <f t="shared" si="21"/>
        <v>3</v>
      </c>
      <c r="D477" s="1">
        <f t="shared" si="22"/>
        <v>4</v>
      </c>
      <c r="E477" s="1">
        <f t="shared" si="23"/>
        <v>2</v>
      </c>
    </row>
    <row r="478" spans="1:5" x14ac:dyDescent="0.25">
      <c r="A478" s="1">
        <v>476</v>
      </c>
      <c r="B478" s="1">
        <v>0.20526268806485415</v>
      </c>
      <c r="C478" s="1">
        <f t="shared" si="21"/>
        <v>0</v>
      </c>
      <c r="D478" s="1">
        <f t="shared" si="22"/>
        <v>3</v>
      </c>
      <c r="E478" s="1">
        <f t="shared" si="23"/>
        <v>0</v>
      </c>
    </row>
    <row r="479" spans="1:5" x14ac:dyDescent="0.25">
      <c r="A479" s="1">
        <v>477</v>
      </c>
      <c r="B479" s="1">
        <v>0.9370555423828878</v>
      </c>
      <c r="C479" s="1">
        <f t="shared" si="21"/>
        <v>3</v>
      </c>
      <c r="D479" s="1">
        <f t="shared" si="22"/>
        <v>4</v>
      </c>
      <c r="E479" s="1">
        <f t="shared" si="23"/>
        <v>1</v>
      </c>
    </row>
    <row r="480" spans="1:5" x14ac:dyDescent="0.25">
      <c r="A480" s="1">
        <v>478</v>
      </c>
      <c r="B480" s="1">
        <v>0.70040496731024549</v>
      </c>
      <c r="C480" s="1">
        <f t="shared" si="21"/>
        <v>2</v>
      </c>
      <c r="D480" s="1">
        <f t="shared" si="22"/>
        <v>4</v>
      </c>
      <c r="E480" s="1">
        <f t="shared" si="23"/>
        <v>1</v>
      </c>
    </row>
    <row r="481" spans="1:5" x14ac:dyDescent="0.25">
      <c r="A481" s="1">
        <v>479</v>
      </c>
      <c r="B481" s="1">
        <v>0.29462175578484595</v>
      </c>
      <c r="C481" s="1">
        <f t="shared" si="21"/>
        <v>1</v>
      </c>
      <c r="D481" s="1">
        <f t="shared" si="22"/>
        <v>4</v>
      </c>
      <c r="E481" s="1">
        <f t="shared" si="23"/>
        <v>0</v>
      </c>
    </row>
    <row r="482" spans="1:5" x14ac:dyDescent="0.25">
      <c r="A482" s="1">
        <v>480</v>
      </c>
      <c r="B482" s="1">
        <v>0.30923090189036717</v>
      </c>
      <c r="C482" s="1">
        <f t="shared" si="21"/>
        <v>1</v>
      </c>
      <c r="D482" s="1">
        <f t="shared" si="22"/>
        <v>4</v>
      </c>
      <c r="E482" s="1">
        <f t="shared" si="23"/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Risk Modeling-Ad or not</vt:lpstr>
      <vt:lpstr>Optimization-Employee</vt:lpstr>
      <vt:lpstr>Answer Report 1</vt:lpstr>
      <vt:lpstr>Simulation-Summer Supply</vt:lpstr>
      <vt:lpstr>Simulation-Winter Supply</vt:lpstr>
      <vt:lpstr>Simulation-Queueing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Scarlett Shi</dc:creator>
  <cp:lastModifiedBy>Scarlett Shi</cp:lastModifiedBy>
  <dcterms:created xsi:type="dcterms:W3CDTF">2025-12-20T20:05:14Z</dcterms:created>
  <dcterms:modified xsi:type="dcterms:W3CDTF">2025-12-21T17:49:34Z</dcterms:modified>
</cp:coreProperties>
</file>